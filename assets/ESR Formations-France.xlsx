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FA18F7C2E81EA4/Documents/NewRecruit/ESR/assets/"/>
    </mc:Choice>
  </mc:AlternateContent>
  <xr:revisionPtr revIDLastSave="254" documentId="8_{5B5579AA-790E-4F9F-96D2-3CC922622812}" xr6:coauthVersionLast="47" xr6:coauthVersionMax="47" xr10:uidLastSave="{65B8DF88-E23F-4AB1-A86D-53F948B9E1DD}"/>
  <bookViews>
    <workbookView xWindow="2190" yWindow="1605" windowWidth="26610" windowHeight="14595" activeTab="1" xr2:uid="{20271C60-C4FB-4B77-A1B3-909BAACA5FD5}"/>
  </bookViews>
  <sheets>
    <sheet name="BaselineFormations" sheetId="1" r:id="rId1"/>
    <sheet name="ExpandedFormations" sheetId="2" r:id="rId2"/>
  </sheets>
  <definedNames>
    <definedName name="FromArray_1">_xlfn.ANCHORARRAY(ExpandedFormations!$A$3)</definedName>
    <definedName name="FromArray_3">_xlfn.ANCHORARRAY(ExpandedFormations!$D$3)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" i="2" l="1" a="1"/>
  <c r="D1" i="2" s="1"/>
  <c r="A3" i="2" a="1"/>
  <c r="A3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8D5E87-B855-46E5-9858-A319AD55B056}" keepAlive="1" name="Query - FromArray_1" description="Connection to the 'FromArray_1' query in the workbook." type="5" refreshedVersion="0" background="1" saveData="1">
    <dbPr connection="Provider=Microsoft.Mashup.OleDb.1;Data Source=$Workbook$;Location=FromArray_1;Extended Properties=&quot;&quot;" command="SELECT * FROM [FromArray_1]"/>
  </connection>
  <connection id="2" xr16:uid="{BC6D6506-3550-4644-A0CA-42FD572CEE76}" keepAlive="1" name="Query - FromArray_3" description="Connection to the 'FromArray_3' query in the workbook." type="5" refreshedVersion="0" background="1" saveData="1">
    <dbPr connection="Provider=Microsoft.Mashup.OleDb.1;Data Source=$Workbook$;Location=FromArray_3;Extended Properties=&quot;&quot;" command="SELECT * FROM [FromArray_3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<sst xmlns="http://schemas.openxmlformats.org/spreadsheetml/2006/main" count="181" uniqueCount="69">
  <si>
    <t>Formation</t>
  </si>
  <si>
    <t>Type</t>
  </si>
  <si>
    <t>Traits</t>
  </si>
  <si>
    <t>Units</t>
  </si>
  <si>
    <t>QTY</t>
  </si>
  <si>
    <t>Notes</t>
  </si>
  <si>
    <t>Infantry</t>
  </si>
  <si>
    <t>Cavalry</t>
  </si>
  <si>
    <t>Rapid Deployment</t>
  </si>
  <si>
    <t>Artillery</t>
  </si>
  <si>
    <t>Reinforcements</t>
  </si>
  <si>
    <t>Unit</t>
  </si>
  <si>
    <t>Infantry Battalion</t>
  </si>
  <si>
    <t>Infantry Company (Asset)</t>
  </si>
  <si>
    <t>Cavalry Squadron Group</t>
  </si>
  <si>
    <t>Artillery Battery (Asset)</t>
  </si>
  <si>
    <t>Formation\Unit</t>
  </si>
  <si>
    <t>Infanterie Légère Bataillons*</t>
  </si>
  <si>
    <t>Infanterie de Ligne Bataillons</t>
  </si>
  <si>
    <t>Artillerie à Pied Batterie</t>
  </si>
  <si>
    <t>*May not exceed 1/3 of the Infanterie Bataillons</t>
  </si>
  <si>
    <t>Chasseurs à Cheval Squadron Groups</t>
  </si>
  <si>
    <t>Hussard Squadron Groups</t>
  </si>
  <si>
    <t>Artillerie à Cheval Batterie</t>
  </si>
  <si>
    <t>Dragon Squadron Groups</t>
  </si>
  <si>
    <t>Cuirassier Squadron Groups</t>
  </si>
  <si>
    <t>Réserve d’Artillerie Batterie</t>
  </si>
  <si>
    <t>Sapeur Compagnie</t>
  </si>
  <si>
    <t>x</t>
  </si>
  <si>
    <t>FR Chevau-Légèr-Lanciers Polonais de la Garde Impériale</t>
  </si>
  <si>
    <t>FR Chevau-Légèr-Lanciers Hollandais de la Garde Impériale</t>
  </si>
  <si>
    <t>FR Réserve Artillerie de la Vieille Garde</t>
  </si>
  <si>
    <t>FR Artillerie à Cheval de la Vieille Garde</t>
  </si>
  <si>
    <t>FR Artillerie à Pied de la Vieille Garde</t>
  </si>
  <si>
    <t>FR Artillerie à Pied de la Jeune Garde</t>
  </si>
  <si>
    <t>FR Infanterie Légère</t>
  </si>
  <si>
    <t>FR Infanterie de Ligne</t>
  </si>
  <si>
    <t>FR Sapeurs</t>
  </si>
  <si>
    <t>FR Carabiniers à Cheval</t>
  </si>
  <si>
    <t>FR Cuirassiers</t>
  </si>
  <si>
    <t>FR Dragons</t>
  </si>
  <si>
    <t>FR Chevau-Légèr-Lanciers</t>
  </si>
  <si>
    <t>FR Chasseurs à Cheval</t>
  </si>
  <si>
    <t>FR Hussards</t>
  </si>
  <si>
    <t>FR 12-pdr Réserve d’Artillerie</t>
  </si>
  <si>
    <t>FR 6-pdr Artillerie à Pied</t>
  </si>
  <si>
    <t>FR 6-pdr Artillerie à Cheval</t>
  </si>
  <si>
    <t>FR 1er &amp; 2eme Grenadiers à Pied de la Garde Impériale</t>
  </si>
  <si>
    <t>FR 1er &amp; 2eme Chasseurs à Pied de la Garde Impériale</t>
  </si>
  <si>
    <t>FR 3eme (Dutch) Grenadiers à Pied de la Garde Impériale</t>
  </si>
  <si>
    <t>FR Fusilier-Grenadiers à Pied de la Garde Impériale</t>
  </si>
  <si>
    <t>FR Fusilier-Chasseurs à Pied de la Garde Impériale</t>
  </si>
  <si>
    <t>FR Tirailleurs de la Garde Impériale</t>
  </si>
  <si>
    <t>FR Voltigeurs de la Garde Impériale</t>
  </si>
  <si>
    <t>FR Grenadiers à Cheval de la Garde Impériale</t>
  </si>
  <si>
    <t>FR Gendarmes d’élite de la Garde Impériale</t>
  </si>
  <si>
    <t>FR Dragons de la Garde Impériale</t>
  </si>
  <si>
    <t>FR Chasseurs à Cheval de la Garde Impériale</t>
  </si>
  <si>
    <t>FR Mameluks de la Garde Impériale</t>
  </si>
  <si>
    <t>FR Division d’Infanterie</t>
  </si>
  <si>
    <t>FR Brigade de Cavalerie Légère</t>
  </si>
  <si>
    <t>FR Division de Cavalerie Légère</t>
  </si>
  <si>
    <t>FR Division de Cavalerie/Dragons</t>
  </si>
  <si>
    <t>FR Division de Grosse Cavalerie</t>
  </si>
  <si>
    <t>FR Corps Réserve/Parc d’Artillerie</t>
  </si>
  <si>
    <t>FR Division d’Infanterie de la Garde Impériale</t>
  </si>
  <si>
    <t>FR Brigade de Cavalerie de la Garde Impériale</t>
  </si>
  <si>
    <t>FR Mixed</t>
  </si>
  <si>
    <t>Mixed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</si>
</sst>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rgb="FF444444"/>
      <name val="Arial"/>
      <family val="2"/>
    </font>
    <font>
      <sz val="11"/>
      <color rgb="FF44444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9E9E9E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BEC0BF"/>
      </patternFill>
    </fill>
  </fills>
  <borders count="4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404040"/>
      </bottom>
      <diagonal/>
    </border>
    <border>
      <left/>
      <right/>
      <top style="medium">
        <color rgb="FF404040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top" wrapText="1"/>
    </xf>
    <xf numFmtId="0" fontId="0" fillId="4" borderId="2" xfId="0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top" wrapText="1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wrapText="1"/>
    </xf>
    <xf numFmtId="0" fontId="5" fillId="0" borderId="0" xfId="0" applyFont="1" applyAlignment="1">
      <alignment vertical="center"/>
    </xf>
    <xf numFmtId="0" fontId="2" fillId="2" borderId="0" xfId="0" applyFont="1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2" fillId="3" borderId="3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EA6EE-836D-4B1C-9447-4891875C4300}">
  <dimension ref="A1:M36"/>
  <sheetViews>
    <sheetView topLeftCell="A11" workbookViewId="0">
      <selection activeCell="A20" sqref="A20:D23"/>
    </sheetView>
  </sheetViews>
  <sheetFormatPr defaultRowHeight="15" x14ac:dyDescent="0.25"/>
  <cols>
    <col min="1" max="10" width="25.5703125" style="10" customWidth="1"/>
    <col min="11" max="11" width="21" customWidth="1"/>
    <col min="12" max="12" width="28.7109375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6" t="s">
        <v>11</v>
      </c>
      <c r="J1" s="6" t="s">
        <v>1</v>
      </c>
    </row>
    <row r="2" spans="1:10" ht="57" customHeight="1" x14ac:dyDescent="0.25">
      <c r="A2" s="13" t="s">
        <v>59</v>
      </c>
      <c r="B2" s="13" t="s">
        <v>6</v>
      </c>
      <c r="C2" s="13"/>
      <c r="D2" s="2" t="s">
        <v>17</v>
      </c>
      <c r="E2" s="9"/>
      <c r="F2" s="13" t="s">
        <v>20</v>
      </c>
      <c r="I2" s="7"/>
      <c r="J2" s="7"/>
    </row>
    <row r="3" spans="1:10" ht="71.25" customHeight="1" x14ac:dyDescent="0.25">
      <c r="A3" s="13"/>
      <c r="B3" s="13"/>
      <c r="C3" s="13"/>
      <c r="D3" s="2" t="s">
        <v>18</v>
      </c>
      <c r="E3" s="3">
        <v>12</v>
      </c>
      <c r="F3" s="13"/>
      <c r="I3" s="8" t="s">
        <v>47</v>
      </c>
      <c r="J3" s="8" t="s">
        <v>12</v>
      </c>
    </row>
    <row r="4" spans="1:10" ht="42.75" customHeight="1" x14ac:dyDescent="0.25">
      <c r="A4" s="13"/>
      <c r="B4" s="13"/>
      <c r="C4" s="13"/>
      <c r="D4" s="2" t="s">
        <v>19</v>
      </c>
      <c r="E4" s="3">
        <v>1</v>
      </c>
      <c r="F4" s="13"/>
      <c r="I4" s="8" t="s">
        <v>48</v>
      </c>
      <c r="J4" s="8" t="s">
        <v>12</v>
      </c>
    </row>
    <row r="5" spans="1:10" ht="85.5" customHeight="1" thickBot="1" x14ac:dyDescent="0.3">
      <c r="A5" s="4" t="s">
        <v>60</v>
      </c>
      <c r="B5" s="4" t="s">
        <v>7</v>
      </c>
      <c r="C5" s="4" t="s">
        <v>8</v>
      </c>
      <c r="D5" s="4" t="s">
        <v>21</v>
      </c>
      <c r="E5" s="5">
        <v>3</v>
      </c>
      <c r="F5" s="4"/>
      <c r="I5" s="8" t="s">
        <v>49</v>
      </c>
      <c r="J5" s="8" t="s">
        <v>12</v>
      </c>
    </row>
    <row r="6" spans="1:10" ht="42.75" x14ac:dyDescent="0.25">
      <c r="A6" s="14" t="s">
        <v>61</v>
      </c>
      <c r="B6" s="13" t="s">
        <v>7</v>
      </c>
      <c r="C6" s="13" t="s">
        <v>8</v>
      </c>
      <c r="D6" s="2" t="s">
        <v>21</v>
      </c>
      <c r="E6" s="9"/>
      <c r="F6" s="13"/>
      <c r="I6" s="8" t="s">
        <v>50</v>
      </c>
      <c r="J6" s="8" t="s">
        <v>12</v>
      </c>
    </row>
    <row r="7" spans="1:10" ht="42.75" x14ac:dyDescent="0.25">
      <c r="A7" s="13"/>
      <c r="B7" s="13"/>
      <c r="C7" s="13"/>
      <c r="D7" s="2" t="s">
        <v>22</v>
      </c>
      <c r="E7" s="3">
        <v>4</v>
      </c>
      <c r="F7" s="13"/>
      <c r="I7" s="8" t="s">
        <v>51</v>
      </c>
      <c r="J7" s="8" t="s">
        <v>12</v>
      </c>
    </row>
    <row r="8" spans="1:10" ht="28.5" customHeight="1" x14ac:dyDescent="0.25">
      <c r="A8" s="13"/>
      <c r="B8" s="13"/>
      <c r="C8" s="13"/>
      <c r="D8" s="2" t="s">
        <v>23</v>
      </c>
      <c r="E8" s="3">
        <v>2</v>
      </c>
      <c r="F8" s="13"/>
      <c r="I8" s="8" t="s">
        <v>52</v>
      </c>
      <c r="J8" s="8" t="s">
        <v>12</v>
      </c>
    </row>
    <row r="9" spans="1:10" ht="15" customHeight="1" x14ac:dyDescent="0.25">
      <c r="A9" s="13"/>
      <c r="B9" s="13"/>
      <c r="C9" s="13"/>
      <c r="D9" s="2"/>
      <c r="E9" s="3">
        <v>1</v>
      </c>
      <c r="F9" s="13"/>
      <c r="I9" s="8" t="s">
        <v>53</v>
      </c>
      <c r="J9" s="8" t="s">
        <v>12</v>
      </c>
    </row>
    <row r="10" spans="1:10" ht="15" customHeight="1" x14ac:dyDescent="0.25">
      <c r="A10" s="12" t="s">
        <v>62</v>
      </c>
      <c r="B10" s="12" t="s">
        <v>7</v>
      </c>
      <c r="C10" s="12" t="s">
        <v>8</v>
      </c>
      <c r="D10" s="4" t="s">
        <v>24</v>
      </c>
      <c r="E10" s="5">
        <v>9</v>
      </c>
      <c r="F10" s="12"/>
      <c r="I10" s="8" t="s">
        <v>54</v>
      </c>
      <c r="J10" s="8" t="s">
        <v>14</v>
      </c>
    </row>
    <row r="11" spans="1:10" ht="28.5" x14ac:dyDescent="0.25">
      <c r="A11" s="12"/>
      <c r="B11" s="12"/>
      <c r="C11" s="12"/>
      <c r="D11" s="4" t="s">
        <v>23</v>
      </c>
      <c r="E11" s="5">
        <v>1</v>
      </c>
      <c r="F11" s="12"/>
      <c r="I11" s="8" t="s">
        <v>55</v>
      </c>
      <c r="J11" s="8" t="s">
        <v>14</v>
      </c>
    </row>
    <row r="12" spans="1:10" ht="32.25" customHeight="1" x14ac:dyDescent="0.25">
      <c r="A12" s="13" t="s">
        <v>63</v>
      </c>
      <c r="B12" s="13" t="s">
        <v>7</v>
      </c>
      <c r="C12" s="13" t="s">
        <v>8</v>
      </c>
      <c r="D12" s="2" t="s">
        <v>25</v>
      </c>
      <c r="E12" s="3">
        <v>9</v>
      </c>
      <c r="F12" s="13"/>
      <c r="I12" s="8" t="s">
        <v>56</v>
      </c>
      <c r="J12" s="8" t="s">
        <v>14</v>
      </c>
    </row>
    <row r="13" spans="1:10" ht="36.75" customHeight="1" x14ac:dyDescent="0.25">
      <c r="A13" s="13"/>
      <c r="B13" s="13"/>
      <c r="C13" s="13"/>
      <c r="D13" s="2" t="s">
        <v>23</v>
      </c>
      <c r="E13" s="3">
        <v>1</v>
      </c>
      <c r="F13" s="13"/>
      <c r="I13" s="8" t="s">
        <v>57</v>
      </c>
      <c r="J13" s="8" t="s">
        <v>14</v>
      </c>
    </row>
    <row r="14" spans="1:10" ht="28.5" x14ac:dyDescent="0.25">
      <c r="A14" s="12" t="s">
        <v>64</v>
      </c>
      <c r="B14" s="12" t="s">
        <v>9</v>
      </c>
      <c r="C14" s="12" t="s">
        <v>10</v>
      </c>
      <c r="D14" s="4" t="s">
        <v>26</v>
      </c>
      <c r="E14" s="5">
        <v>1</v>
      </c>
      <c r="F14" s="12"/>
      <c r="I14" s="8" t="s">
        <v>58</v>
      </c>
      <c r="J14" s="8" t="s">
        <v>14</v>
      </c>
    </row>
    <row r="15" spans="1:10" ht="28.5" customHeight="1" x14ac:dyDescent="0.25">
      <c r="A15" s="12"/>
      <c r="B15" s="12"/>
      <c r="C15" s="12"/>
      <c r="D15" s="4" t="s">
        <v>19</v>
      </c>
      <c r="E15" s="5">
        <v>1</v>
      </c>
      <c r="F15" s="12"/>
      <c r="I15" s="8" t="s">
        <v>29</v>
      </c>
      <c r="J15" s="8" t="s">
        <v>14</v>
      </c>
    </row>
    <row r="16" spans="1:10" ht="28.5" customHeight="1" x14ac:dyDescent="0.25">
      <c r="A16" s="12"/>
      <c r="B16" s="12"/>
      <c r="C16" s="12"/>
      <c r="D16" s="4" t="s">
        <v>23</v>
      </c>
      <c r="E16" s="5">
        <v>1</v>
      </c>
      <c r="F16" s="12"/>
      <c r="I16" s="8" t="s">
        <v>30</v>
      </c>
      <c r="J16" s="8" t="s">
        <v>14</v>
      </c>
    </row>
    <row r="17" spans="1:10" ht="28.5" customHeight="1" x14ac:dyDescent="0.25">
      <c r="A17" s="12"/>
      <c r="B17" s="12"/>
      <c r="C17" s="12"/>
      <c r="D17" s="4" t="s">
        <v>27</v>
      </c>
      <c r="E17" s="5">
        <v>2</v>
      </c>
      <c r="F17" s="12"/>
      <c r="I17" s="8" t="s">
        <v>31</v>
      </c>
      <c r="J17" s="8" t="s">
        <v>15</v>
      </c>
    </row>
    <row r="18" spans="1:10" ht="28.5" x14ac:dyDescent="0.25">
      <c r="A18" s="2" t="s">
        <v>65</v>
      </c>
      <c r="B18" s="10" t="s">
        <v>6</v>
      </c>
      <c r="I18" s="8" t="s">
        <v>32</v>
      </c>
      <c r="J18" s="8" t="s">
        <v>15</v>
      </c>
    </row>
    <row r="19" spans="1:10" ht="30" x14ac:dyDescent="0.25">
      <c r="A19" s="10" t="s">
        <v>66</v>
      </c>
      <c r="B19" s="10" t="s">
        <v>7</v>
      </c>
      <c r="C19" s="10" t="s">
        <v>8</v>
      </c>
      <c r="I19" s="8" t="s">
        <v>33</v>
      </c>
      <c r="J19" s="8" t="s">
        <v>15</v>
      </c>
    </row>
    <row r="20" spans="1:10" ht="28.5" x14ac:dyDescent="0.25">
      <c r="I20" s="8" t="s">
        <v>34</v>
      </c>
      <c r="J20" s="8" t="s">
        <v>15</v>
      </c>
    </row>
    <row r="21" spans="1:10" x14ac:dyDescent="0.25">
      <c r="I21" s="8" t="s">
        <v>35</v>
      </c>
      <c r="J21" s="8" t="s">
        <v>12</v>
      </c>
    </row>
    <row r="22" spans="1:10" x14ac:dyDescent="0.25">
      <c r="I22" s="8" t="s">
        <v>36</v>
      </c>
      <c r="J22" s="8" t="s">
        <v>12</v>
      </c>
    </row>
    <row r="23" spans="1:10" x14ac:dyDescent="0.25">
      <c r="I23" s="8" t="s">
        <v>37</v>
      </c>
      <c r="J23" s="8" t="s">
        <v>13</v>
      </c>
    </row>
    <row r="24" spans="1:10" x14ac:dyDescent="0.25">
      <c r="I24" s="8" t="s">
        <v>38</v>
      </c>
      <c r="J24" s="8" t="s">
        <v>14</v>
      </c>
    </row>
    <row r="25" spans="1:10" x14ac:dyDescent="0.25">
      <c r="I25" s="8" t="s">
        <v>39</v>
      </c>
      <c r="J25" s="8" t="s">
        <v>14</v>
      </c>
    </row>
    <row r="26" spans="1:10" x14ac:dyDescent="0.25">
      <c r="I26" s="8" t="s">
        <v>40</v>
      </c>
      <c r="J26" s="8" t="s">
        <v>14</v>
      </c>
    </row>
    <row r="27" spans="1:10" ht="28.5" x14ac:dyDescent="0.25">
      <c r="I27" s="8" t="s">
        <v>41</v>
      </c>
      <c r="J27" s="8" t="s">
        <v>14</v>
      </c>
    </row>
    <row r="28" spans="1:10" x14ac:dyDescent="0.25">
      <c r="I28" s="8" t="s">
        <v>42</v>
      </c>
      <c r="J28" s="8" t="s">
        <v>14</v>
      </c>
    </row>
    <row r="29" spans="1:10" x14ac:dyDescent="0.25">
      <c r="I29" s="8" t="s">
        <v>43</v>
      </c>
      <c r="J29" s="8" t="s">
        <v>14</v>
      </c>
    </row>
    <row r="30" spans="1:10" ht="28.5" x14ac:dyDescent="0.25">
      <c r="I30" s="8" t="s">
        <v>44</v>
      </c>
      <c r="J30" s="8" t="s">
        <v>15</v>
      </c>
    </row>
    <row r="31" spans="1:10" x14ac:dyDescent="0.25">
      <c r="I31" s="8" t="s">
        <v>45</v>
      </c>
      <c r="J31" s="8" t="s">
        <v>15</v>
      </c>
    </row>
    <row r="32" spans="1:10" ht="28.5" x14ac:dyDescent="0.25">
      <c r="I32" s="8" t="s">
        <v>46</v>
      </c>
      <c r="J32" s="8" t="s">
        <v>15</v>
      </c>
    </row>
    <row r="33" spans="12:13" x14ac:dyDescent="0.25">
      <c r="L33" s="10"/>
      <c r="M33" s="11"/>
    </row>
    <row r="34" spans="12:13" x14ac:dyDescent="0.25">
      <c r="M34" s="11"/>
    </row>
    <row r="35" spans="12:13" x14ac:dyDescent="0.25">
      <c r="M35" s="11"/>
    </row>
    <row r="36" spans="12:13" x14ac:dyDescent="0.25">
      <c r="M36" s="11"/>
    </row>
  </sheetData>
  <mergeCells count="20">
    <mergeCell ref="A10:A11"/>
    <mergeCell ref="B10:B11"/>
    <mergeCell ref="A14:A17"/>
    <mergeCell ref="B14:B17"/>
    <mergeCell ref="F14:F17"/>
    <mergeCell ref="A2:A4"/>
    <mergeCell ref="F2:F4"/>
    <mergeCell ref="C14:C17"/>
    <mergeCell ref="F12:F13"/>
    <mergeCell ref="C6:C9"/>
    <mergeCell ref="C10:C11"/>
    <mergeCell ref="F6:F9"/>
    <mergeCell ref="F10:F11"/>
    <mergeCell ref="B2:B4"/>
    <mergeCell ref="C2:C4"/>
    <mergeCell ref="A6:A9"/>
    <mergeCell ref="B6:B9"/>
    <mergeCell ref="C12:C13"/>
    <mergeCell ref="A12:A13"/>
    <mergeCell ref="B12:B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2F401-E5BC-41DA-8596-65382229DEB1}">
  <dimension ref="A1:AG1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G2" sqref="A1:AG2"/>
    </sheetView>
  </sheetViews>
  <sheetFormatPr defaultRowHeight="15" x14ac:dyDescent="0.25"/>
  <cols>
    <col min="1" max="1" width="40.5703125" customWidth="1"/>
    <col min="2" max="3" width="24.85546875" customWidth="1"/>
    <col min="4" max="18" width="14" customWidth="1"/>
  </cols>
  <sheetData>
    <row r="1" spans="1:33" s="10" customFormat="1" ht="90" x14ac:dyDescent="0.25">
      <c r="A1" s="10" t="s">
        <v>16</v>
      </c>
      <c r="B1" s="10" t="s">
        <v>1</v>
      </c>
      <c r="C1" s="10" t="s">
        <v>2</v>
      </c>
      <c r="D1" s="10" t="str" cm="1">
        <f t="array" ref="D1:AG1">TRANSPOSE(_xlfn._xlws.FILTER(BaselineFormations!I:I,(BaselineFormations!I:I&lt;&gt;"")*(BaselineFormations!I:I&lt;&gt;"Unit")))</f>
        <v>FR 1er &amp; 2eme Grenadiers à Pied de la Garde Impériale</v>
      </c>
      <c r="E1" s="10" t="str">
        <v>FR 1er &amp; 2eme Chasseurs à Pied de la Garde Impériale</v>
      </c>
      <c r="F1" s="10" t="str">
        <v>FR 3eme (Dutch) Grenadiers à Pied de la Garde Impériale</v>
      </c>
      <c r="G1" s="10" t="str">
        <v>FR Fusilier-Grenadiers à Pied de la Garde Impériale</v>
      </c>
      <c r="H1" s="10" t="str">
        <v>FR Fusilier-Chasseurs à Pied de la Garde Impériale</v>
      </c>
      <c r="I1" s="10" t="str">
        <v>FR Tirailleurs de la Garde Impériale</v>
      </c>
      <c r="J1" s="10" t="str">
        <v>FR Voltigeurs de la Garde Impériale</v>
      </c>
      <c r="K1" s="10" t="str">
        <v>FR Grenadiers à Cheval de la Garde Impériale</v>
      </c>
      <c r="L1" s="10" t="str">
        <v>FR Gendarmes d’élite de la Garde Impériale</v>
      </c>
      <c r="M1" s="10" t="str">
        <v>FR Dragons de la Garde Impériale</v>
      </c>
      <c r="N1" s="10" t="str">
        <v>FR Chasseurs à Cheval de la Garde Impériale</v>
      </c>
      <c r="O1" s="10" t="str">
        <v>FR Mameluks de la Garde Impériale</v>
      </c>
      <c r="P1" s="10" t="str">
        <v>FR Chevau-Légèr-Lanciers Polonais de la Garde Impériale</v>
      </c>
      <c r="Q1" s="10" t="str">
        <v>FR Chevau-Légèr-Lanciers Hollandais de la Garde Impériale</v>
      </c>
      <c r="R1" s="10" t="str">
        <v>FR Réserve Artillerie de la Vieille Garde</v>
      </c>
      <c r="S1" s="10" t="str">
        <v>FR Artillerie à Cheval de la Vieille Garde</v>
      </c>
      <c r="T1" s="10" t="str">
        <v>FR Artillerie à Pied de la Vieille Garde</v>
      </c>
      <c r="U1" s="10" t="str">
        <v>FR Artillerie à Pied de la Jeune Garde</v>
      </c>
      <c r="V1" s="10" t="str">
        <v>FR Infanterie Légère</v>
      </c>
      <c r="W1" s="10" t="str">
        <v>FR Infanterie de Ligne</v>
      </c>
      <c r="X1" s="10" t="str">
        <v>FR Sapeurs</v>
      </c>
      <c r="Y1" s="10" t="str">
        <v>FR Carabiniers à Cheval</v>
      </c>
      <c r="Z1" s="10" t="str">
        <v>FR Cuirassiers</v>
      </c>
      <c r="AA1" s="10" t="str">
        <v>FR Dragons</v>
      </c>
      <c r="AB1" s="10" t="str">
        <v>FR Chevau-Légèr-Lanciers</v>
      </c>
      <c r="AC1" s="10" t="str">
        <v>FR Chasseurs à Cheval</v>
      </c>
      <c r="AD1" s="10" t="str">
        <v>FR Hussards</v>
      </c>
      <c r="AE1" s="10" t="str">
        <v>FR 12-pdr Réserve d’Artillerie</v>
      </c>
      <c r="AF1" s="10" t="str">
        <v>FR 6-pdr Artillerie à Pied</v>
      </c>
      <c r="AG1" s="10" t="str">
        <v>FR 6-pdr Artillerie à Cheval</v>
      </c>
    </row>
    <row r="2" spans="1:33" s="10" customFormat="1" x14ac:dyDescent="0.25">
      <c r="A2" s="10" t="s">
        <v>67</v>
      </c>
      <c r="B2" s="10" t="s">
        <v>68</v>
      </c>
      <c r="D2" s="10" t="s">
        <v>28</v>
      </c>
      <c r="E2" s="10" t="s">
        <v>28</v>
      </c>
      <c r="F2" s="10" t="s">
        <v>28</v>
      </c>
      <c r="G2" s="10" t="s">
        <v>28</v>
      </c>
      <c r="H2" s="10" t="s">
        <v>28</v>
      </c>
      <c r="I2" s="10" t="s">
        <v>28</v>
      </c>
      <c r="J2" s="10" t="s">
        <v>28</v>
      </c>
      <c r="K2" s="10" t="s">
        <v>28</v>
      </c>
      <c r="L2" s="10" t="s">
        <v>28</v>
      </c>
      <c r="M2" s="10" t="s">
        <v>28</v>
      </c>
      <c r="N2" s="10" t="s">
        <v>28</v>
      </c>
      <c r="O2" s="10" t="s">
        <v>28</v>
      </c>
      <c r="P2" s="10" t="s">
        <v>28</v>
      </c>
      <c r="Q2" s="10" t="s">
        <v>28</v>
      </c>
      <c r="R2" s="10" t="s">
        <v>28</v>
      </c>
      <c r="S2" s="10" t="s">
        <v>28</v>
      </c>
      <c r="T2" s="10" t="s">
        <v>28</v>
      </c>
      <c r="U2" s="10" t="s">
        <v>28</v>
      </c>
      <c r="V2" s="10" t="s">
        <v>28</v>
      </c>
      <c r="W2" s="10" t="s">
        <v>28</v>
      </c>
      <c r="X2" s="10" t="s">
        <v>28</v>
      </c>
      <c r="Y2" s="10" t="s">
        <v>28</v>
      </c>
      <c r="Z2" s="10" t="s">
        <v>28</v>
      </c>
      <c r="AA2" s="10" t="s">
        <v>28</v>
      </c>
      <c r="AB2" s="10" t="s">
        <v>28</v>
      </c>
      <c r="AC2" s="10" t="s">
        <v>28</v>
      </c>
      <c r="AD2" s="10" t="s">
        <v>28</v>
      </c>
      <c r="AE2" s="10" t="s">
        <v>28</v>
      </c>
      <c r="AF2" s="10" t="s">
        <v>28</v>
      </c>
      <c r="AG2" s="10" t="s">
        <v>28</v>
      </c>
    </row>
    <row r="3" spans="1:33" x14ac:dyDescent="0.25">
      <c r="A3" t="str" cm="1">
        <f t="array" ref="A3:C10">_xlfn.LET(_xlpm.data,_xlfn._xlws.FILTER(BaselineFormations!A:C,(BaselineFormations!A:A&lt;&gt;"Formation")*(NOT(ISBLANK(BaselineFormations!A:A)))),IF(_xlpm.data=0,"",_xlpm.data))</f>
        <v>FR Division d’Infanterie</v>
      </c>
      <c r="B3" t="str">
        <v>Infantry</v>
      </c>
      <c r="C3" t="str">
        <v/>
      </c>
      <c r="V3" t="s">
        <v>28</v>
      </c>
      <c r="W3" t="s">
        <v>28</v>
      </c>
      <c r="X3" t="s">
        <v>28</v>
      </c>
      <c r="AE3" t="s">
        <v>28</v>
      </c>
      <c r="AF3" t="s">
        <v>28</v>
      </c>
      <c r="AG3" t="s">
        <v>28</v>
      </c>
    </row>
    <row r="4" spans="1:33" x14ac:dyDescent="0.25">
      <c r="A4" t="str">
        <v>FR Brigade de Cavalerie Légère</v>
      </c>
      <c r="B4" t="str">
        <v>Cavalry</v>
      </c>
      <c r="C4" t="str">
        <v>Rapid Deployment</v>
      </c>
      <c r="AC4" t="s">
        <v>28</v>
      </c>
      <c r="AG4" t="s">
        <v>28</v>
      </c>
    </row>
    <row r="5" spans="1:33" x14ac:dyDescent="0.25">
      <c r="A5" t="str">
        <v>FR Division de Cavalerie Légère</v>
      </c>
      <c r="B5" t="str">
        <v>Cavalry</v>
      </c>
      <c r="C5" t="str">
        <v>Rapid Deployment</v>
      </c>
      <c r="AB5" t="s">
        <v>28</v>
      </c>
      <c r="AC5" t="s">
        <v>28</v>
      </c>
      <c r="AD5" t="s">
        <v>28</v>
      </c>
      <c r="AG5" t="s">
        <v>28</v>
      </c>
    </row>
    <row r="6" spans="1:33" x14ac:dyDescent="0.25">
      <c r="A6" t="str">
        <v>FR Division de Cavalerie/Dragons</v>
      </c>
      <c r="B6" t="str">
        <v>Cavalry</v>
      </c>
      <c r="C6" t="str">
        <v>Rapid Deployment</v>
      </c>
      <c r="AA6" t="s">
        <v>28</v>
      </c>
      <c r="AG6" t="s">
        <v>28</v>
      </c>
    </row>
    <row r="7" spans="1:33" x14ac:dyDescent="0.25">
      <c r="A7" t="str">
        <v>FR Division de Grosse Cavalerie</v>
      </c>
      <c r="B7" t="str">
        <v>Cavalry</v>
      </c>
      <c r="C7" t="str">
        <v>Rapid Deployment</v>
      </c>
      <c r="Y7" t="s">
        <v>28</v>
      </c>
      <c r="Z7" t="s">
        <v>28</v>
      </c>
      <c r="AB7" t="s">
        <v>28</v>
      </c>
      <c r="AG7" t="s">
        <v>28</v>
      </c>
    </row>
    <row r="8" spans="1:33" x14ac:dyDescent="0.25">
      <c r="A8" t="str">
        <v>FR Corps Réserve/Parc d’Artillerie</v>
      </c>
      <c r="B8" t="str">
        <v>Artillery</v>
      </c>
      <c r="C8" t="str">
        <v>Reinforcements</v>
      </c>
      <c r="AE8" t="s">
        <v>28</v>
      </c>
      <c r="AF8" t="s">
        <v>28</v>
      </c>
      <c r="AG8" t="s">
        <v>28</v>
      </c>
    </row>
    <row r="9" spans="1:33" x14ac:dyDescent="0.25">
      <c r="A9" t="str">
        <v>FR Division d’Infanterie de la Garde Impériale</v>
      </c>
      <c r="B9" t="str">
        <v>Infantry</v>
      </c>
      <c r="C9" t="str">
        <v/>
      </c>
      <c r="D9" t="s">
        <v>28</v>
      </c>
      <c r="E9" t="s">
        <v>28</v>
      </c>
      <c r="F9" t="s">
        <v>28</v>
      </c>
      <c r="G9" t="s">
        <v>28</v>
      </c>
      <c r="H9" t="s">
        <v>28</v>
      </c>
      <c r="I9" t="s">
        <v>28</v>
      </c>
      <c r="J9" t="s">
        <v>28</v>
      </c>
      <c r="R9" t="s">
        <v>28</v>
      </c>
      <c r="S9" t="s">
        <v>28</v>
      </c>
      <c r="T9" t="s">
        <v>28</v>
      </c>
      <c r="U9" t="s">
        <v>28</v>
      </c>
    </row>
    <row r="10" spans="1:33" x14ac:dyDescent="0.25">
      <c r="A10" t="str">
        <v>FR Brigade de Cavalerie de la Garde Impériale</v>
      </c>
      <c r="B10" t="str">
        <v>Cavalry</v>
      </c>
      <c r="C10" t="str">
        <v>Rapid Deployment</v>
      </c>
      <c r="K10" t="s">
        <v>28</v>
      </c>
      <c r="L10" t="s">
        <v>28</v>
      </c>
      <c r="M10" t="s">
        <v>28</v>
      </c>
      <c r="N10" t="s">
        <v>28</v>
      </c>
      <c r="O10" t="s">
        <v>28</v>
      </c>
      <c r="P10" t="s">
        <v>28</v>
      </c>
      <c r="Q10" t="s">
        <v>28</v>
      </c>
      <c r="S10" t="s">
        <v>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8E7C02-D4BE-422C-BCB0-6DC6593860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BaselineFormations</vt:lpstr>
      <vt:lpstr>ExpandedFormations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Pressley</dc:creator>
  <cp:lastModifiedBy>Todd Pressley</cp:lastModifiedBy>
  <dcterms:created xsi:type="dcterms:W3CDTF">2026-05-25T17:38:57Z</dcterms:created>
  <dcterms:modified xsi:type="dcterms:W3CDTF">2026-06-21T18:38:41Z</dcterms:modified>
</cp:coreProperties>
</file>