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117" documentId="8_{CBA1ACD2-9F58-43EB-88FE-AE8D1B64C06A}" xr6:coauthVersionLast="47" xr6:coauthVersionMax="47" xr10:uidLastSave="{A0D60A2A-6891-4CF5-9D17-DE67E6C8FCC1}"/>
  <bookViews>
    <workbookView xWindow="2190" yWindow="1605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_xlfn.ANCHORARRAY(ExpandedFormations!$A$3)</definedName>
    <definedName name="FromArray_3">_xlfn.ANCHORARRAY(ExpandedFormations!$D$3)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3" i="2" a="1"/>
  <c r="A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<sst xmlns="http://schemas.openxmlformats.org/spreadsheetml/2006/main" count="78" uniqueCount="43">
  <si>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</si>
  <si>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</si>
  <si>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</si>
  <si>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</si>
  <si>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</si>
  <si>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</si>
  <si>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</si>
  <si>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</si>
  <si>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</si>
  <si>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Artillery</t>
  </si>
  <si>
    <t>Reinforcements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</si>
  <si>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</si>
  <si>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</si>
  <si>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</si>
  <si>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</si>
  <si>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</si>
  <si>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</si>
  <si>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</si>
  <si>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Leichtes Infanterie-Bataillon</t>
  </si>
  <si>
    <t>Infanterie-Bataillon</t>
  </si>
  <si>
    <t>Fußartillerie-Batterie</t>
  </si>
  <si>
    <t>Dragone Squadron Groups</t>
  </si>
  <si>
    <t>Chevauleger Squadron Groups</t>
  </si>
  <si>
    <t>Only 1809</t>
  </si>
  <si>
    <t>Leichte Artillerie-Batterie</t>
  </si>
  <si>
    <t>Reserveartillerie-Batterie</t>
  </si>
  <si>
    <t>Pioniere Kompagnie</t>
  </si>
  <si>
    <t>1-3</t>
  </si>
  <si>
    <t>8-10</t>
  </si>
  <si>
    <t>BV Leichtes Infanterie</t>
  </si>
  <si>
    <t>BV Infanterie</t>
  </si>
  <si>
    <t>BV Dragoner</t>
  </si>
  <si>
    <t>BV Chevauleger</t>
  </si>
  <si>
    <t>BV Reserveartillerie</t>
  </si>
  <si>
    <t>BV Fußartillerie</t>
  </si>
  <si>
    <t>BV Leichte Artillerie</t>
  </si>
  <si>
    <t>BV Pioniere</t>
  </si>
  <si>
    <t>BV Infanterie-Division</t>
  </si>
  <si>
    <t>BV Kavallerie-Division</t>
  </si>
  <si>
    <t>BV Leichtes Kavallerie-Division</t>
  </si>
  <si>
    <t>BV Korps Reservieren</t>
  </si>
  <si>
    <t>BV Mixed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</si>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</sst>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49" fontId="1" fillId="2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12" sqref="A12"/>
    </sheetView>
  </sheetViews>
  <sheetFormatPr defaultRowHeight="15" x14ac:dyDescent="0.25"/>
  <cols>
    <col min="1" max="4" width="25.5703125" style="7" customWidth="1"/>
    <col min="5" max="5" width="25.5703125" style="12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  <c r="I1" s="4" t="s">
        <v>11</v>
      </c>
      <c r="J1" s="4" t="s">
        <v>1</v>
      </c>
    </row>
    <row r="2" spans="1:10" ht="57" customHeight="1" x14ac:dyDescent="0.25">
      <c r="A2" s="13" t="s">
        <v>37</v>
      </c>
      <c r="B2" s="17" t="s">
        <v>6</v>
      </c>
      <c r="C2" s="16"/>
      <c r="D2" s="2" t="s">
        <v>18</v>
      </c>
      <c r="E2" s="10" t="s">
        <v>27</v>
      </c>
      <c r="F2" s="16"/>
      <c r="I2" s="5"/>
      <c r="J2" s="5"/>
    </row>
    <row r="3" spans="1:10" ht="71.25" customHeight="1" x14ac:dyDescent="0.25">
      <c r="A3" s="13"/>
      <c r="B3" s="17"/>
      <c r="C3" s="16"/>
      <c r="D3" s="2" t="s">
        <v>19</v>
      </c>
      <c r="E3" s="10" t="s">
        <v>28</v>
      </c>
      <c r="F3" s="16"/>
      <c r="I3" s="6" t="s">
        <v>29</v>
      </c>
      <c r="J3" s="6" t="s">
        <v>16</v>
      </c>
    </row>
    <row r="4" spans="1:10" x14ac:dyDescent="0.25">
      <c r="A4" s="13"/>
      <c r="B4" s="17"/>
      <c r="C4" s="16"/>
      <c r="D4" s="2" t="s">
        <v>20</v>
      </c>
      <c r="E4" s="10">
        <v>1</v>
      </c>
      <c r="F4" s="16"/>
      <c r="I4" s="6" t="s">
        <v>30</v>
      </c>
      <c r="J4" s="6" t="s">
        <v>16</v>
      </c>
    </row>
    <row r="5" spans="1:10" ht="85.5" customHeight="1" x14ac:dyDescent="0.25">
      <c r="A5" s="14" t="s">
        <v>38</v>
      </c>
      <c r="B5" s="15" t="s">
        <v>7</v>
      </c>
      <c r="C5" s="18" t="s">
        <v>8</v>
      </c>
      <c r="D5" s="3" t="s">
        <v>21</v>
      </c>
      <c r="E5" s="11">
        <v>2</v>
      </c>
      <c r="F5" s="18" t="s">
        <v>23</v>
      </c>
      <c r="I5" s="6" t="s">
        <v>31</v>
      </c>
      <c r="J5" s="6" t="s">
        <v>17</v>
      </c>
    </row>
    <row r="6" spans="1:10" ht="28.5" x14ac:dyDescent="0.25">
      <c r="A6" s="14"/>
      <c r="B6" s="15"/>
      <c r="C6" s="18"/>
      <c r="D6" s="3" t="s">
        <v>22</v>
      </c>
      <c r="E6" s="11">
        <v>2</v>
      </c>
      <c r="F6" s="18"/>
      <c r="I6" s="6" t="s">
        <v>32</v>
      </c>
      <c r="J6" s="6" t="s">
        <v>17</v>
      </c>
    </row>
    <row r="7" spans="1:10" ht="28.5" x14ac:dyDescent="0.25">
      <c r="A7" s="13" t="s">
        <v>39</v>
      </c>
      <c r="B7" s="17" t="s">
        <v>7</v>
      </c>
      <c r="C7" s="16" t="s">
        <v>8</v>
      </c>
      <c r="D7" s="2" t="s">
        <v>22</v>
      </c>
      <c r="E7" s="10">
        <v>6</v>
      </c>
      <c r="F7" s="16"/>
      <c r="I7" s="6" t="s">
        <v>33</v>
      </c>
      <c r="J7" s="6" t="s">
        <v>13</v>
      </c>
    </row>
    <row r="8" spans="1:10" x14ac:dyDescent="0.25">
      <c r="A8" s="13"/>
      <c r="B8" s="17"/>
      <c r="C8" s="16"/>
      <c r="D8" s="2" t="s">
        <v>24</v>
      </c>
      <c r="E8" s="10">
        <v>1</v>
      </c>
      <c r="F8" s="16"/>
      <c r="I8" s="6" t="s">
        <v>34</v>
      </c>
      <c r="J8" s="6" t="s">
        <v>13</v>
      </c>
    </row>
    <row r="9" spans="1:10" ht="15" customHeight="1" x14ac:dyDescent="0.25">
      <c r="A9" s="14" t="s">
        <v>40</v>
      </c>
      <c r="B9" s="15" t="s">
        <v>9</v>
      </c>
      <c r="C9" s="18" t="s">
        <v>10</v>
      </c>
      <c r="D9" s="3" t="s">
        <v>25</v>
      </c>
      <c r="E9" s="11">
        <v>1</v>
      </c>
      <c r="F9" s="18"/>
      <c r="I9" s="6" t="s">
        <v>35</v>
      </c>
      <c r="J9" s="6" t="s">
        <v>13</v>
      </c>
    </row>
    <row r="10" spans="1:10" ht="15" customHeight="1" x14ac:dyDescent="0.25">
      <c r="A10" s="14"/>
      <c r="B10" s="15"/>
      <c r="C10" s="18"/>
      <c r="D10" s="3" t="s">
        <v>24</v>
      </c>
      <c r="E10" s="11">
        <v>2</v>
      </c>
      <c r="F10" s="18"/>
      <c r="I10" s="6" t="s">
        <v>36</v>
      </c>
      <c r="J10" s="6" t="s">
        <v>12</v>
      </c>
    </row>
    <row r="11" spans="1:10" x14ac:dyDescent="0.25">
      <c r="A11" s="14"/>
      <c r="B11" s="15"/>
      <c r="C11" s="18"/>
      <c r="D11" s="3" t="s">
        <v>26</v>
      </c>
      <c r="E11" s="11">
        <v>1</v>
      </c>
      <c r="F11" s="18"/>
      <c r="I11" s="6"/>
      <c r="J11" s="6"/>
    </row>
    <row r="12" spans="1:10" ht="32.25" customHeight="1" x14ac:dyDescent="0.25">
      <c r="I12" s="6"/>
      <c r="J12" s="6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ht="28.5" customHeight="1" x14ac:dyDescent="0.25">
      <c r="I16" s="6"/>
      <c r="J16" s="6"/>
    </row>
    <row r="17" spans="9:10" ht="28.5" customHeight="1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16">
    <mergeCell ref="A7:A8"/>
    <mergeCell ref="A9:A11"/>
    <mergeCell ref="B9:B11"/>
    <mergeCell ref="A2:A4"/>
    <mergeCell ref="F2:F4"/>
    <mergeCell ref="B2:B4"/>
    <mergeCell ref="C2:C4"/>
    <mergeCell ref="A5:A6"/>
    <mergeCell ref="C9:C11"/>
    <mergeCell ref="F9:F11"/>
    <mergeCell ref="B5:B6"/>
    <mergeCell ref="C5:C6"/>
    <mergeCell ref="F5:F6"/>
    <mergeCell ref="B7:B8"/>
    <mergeCell ref="C7:C8"/>
    <mergeCell ref="F7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K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2" sqref="A1:K2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8" width="14" customWidth="1"/>
  </cols>
  <sheetData>
    <row r="1" spans="1:11" s="7" customFormat="1" ht="51" customHeight="1" x14ac:dyDescent="0.25">
      <c r="A1" s="7" t="s">
        <v>14</v>
      </c>
      <c r="B1" s="7" t="s">
        <v>1</v>
      </c>
      <c r="C1" s="7" t="s">
        <v>2</v>
      </c>
      <c r="D1" s="7" t="str" cm="1">
        <f t="array" ref="D1:K1">TRANSPOSE(_xlfn._xlws.FILTER(BaselineFormations!I:I,(BaselineFormations!I:I&lt;&gt;"")*(BaselineFormations!I:I&lt;&gt;"Unit")))</f>
        <v>BV Leichtes Infanterie</v>
      </c>
      <c r="E1" s="7" t="str">
        <v>BV Infanterie</v>
      </c>
      <c r="F1" s="7" t="str">
        <v>BV Dragoner</v>
      </c>
      <c r="G1" s="7" t="str">
        <v>BV Chevauleger</v>
      </c>
      <c r="H1" s="7" t="str">
        <v>BV Reserveartillerie</v>
      </c>
      <c r="I1" s="7" t="str">
        <v>BV Fußartillerie</v>
      </c>
      <c r="J1" s="7" t="str">
        <v>BV Leichte Artillerie</v>
      </c>
      <c r="K1" s="7" t="str">
        <v>BV Pioniere</v>
      </c>
    </row>
    <row r="2" spans="1:11" s="7" customFormat="1" ht="51" customHeight="1" x14ac:dyDescent="0.25">
      <c r="A2" s="7" t="s">
        <v>41</v>
      </c>
      <c r="B2" s="7" t="s">
        <v>42</v>
      </c>
      <c r="D2" s="7" t="s">
        <v>15</v>
      </c>
      <c r="E2" s="7" t="s">
        <v>15</v>
      </c>
      <c r="F2" s="7" t="s">
        <v>15</v>
      </c>
      <c r="G2" s="7" t="s">
        <v>15</v>
      </c>
      <c r="H2" s="7" t="s">
        <v>15</v>
      </c>
      <c r="I2" s="7" t="s">
        <v>15</v>
      </c>
      <c r="J2" s="7" t="s">
        <v>15</v>
      </c>
      <c r="K2" s="7" t="s">
        <v>15</v>
      </c>
    </row>
    <row r="3" spans="1:11" x14ac:dyDescent="0.25">
      <c r="A3" t="str" cm="1">
        <f t="array" ref="A3:C6">_xlfn.LET(_xlpm.data,_xlfn._xlws.FILTER(BaselineFormations!A:C,(BaselineFormations!A:A&lt;&gt;"Formation")*(NOT(ISBLANK(BaselineFormations!A:A)))),IF(_xlpm.data=0,"",_xlpm.data))</f>
        <v>BV Infanterie-Division</v>
      </c>
      <c r="B3" t="str">
        <v>Infantry</v>
      </c>
      <c r="C3" t="str">
        <v/>
      </c>
      <c r="D3" t="s">
        <v>15</v>
      </c>
      <c r="E3" t="s">
        <v>15</v>
      </c>
      <c r="H3" t="s">
        <v>15</v>
      </c>
      <c r="I3" t="s">
        <v>15</v>
      </c>
      <c r="J3" t="s">
        <v>15</v>
      </c>
      <c r="K3" t="s">
        <v>15</v>
      </c>
    </row>
    <row r="4" spans="1:11" x14ac:dyDescent="0.25">
      <c r="A4" t="str">
        <v>BV Kavallerie-Division</v>
      </c>
      <c r="B4" t="str">
        <v>Cavalry</v>
      </c>
      <c r="C4" t="str">
        <v>Rapid Deployment</v>
      </c>
      <c r="F4" t="s">
        <v>15</v>
      </c>
      <c r="G4" t="s">
        <v>15</v>
      </c>
      <c r="H4" t="s">
        <v>15</v>
      </c>
      <c r="I4" t="s">
        <v>15</v>
      </c>
      <c r="J4" t="s">
        <v>15</v>
      </c>
    </row>
    <row r="5" spans="1:11" x14ac:dyDescent="0.25">
      <c r="A5" t="str">
        <v>BV Leichtes Kavallerie-Division</v>
      </c>
      <c r="B5" t="str">
        <v>Cavalry</v>
      </c>
      <c r="C5" t="str">
        <v>Rapid Deployment</v>
      </c>
      <c r="G5" t="s">
        <v>15</v>
      </c>
      <c r="J5" t="s">
        <v>15</v>
      </c>
    </row>
    <row r="6" spans="1:11" x14ac:dyDescent="0.25">
      <c r="A6" t="str">
        <v>BV Korps Reservieren</v>
      </c>
      <c r="B6" t="str">
        <v>Artillery</v>
      </c>
      <c r="C6" t="str">
        <v>Reinforcements</v>
      </c>
      <c r="H6" t="s">
        <v>15</v>
      </c>
      <c r="I6" t="s">
        <v>15</v>
      </c>
      <c r="J6" t="s">
        <v>15</v>
      </c>
      <c r="K6" t="s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2026-06-21T18:39:39Z</dcterms:modified>
</cp:coreProperties>
</file>