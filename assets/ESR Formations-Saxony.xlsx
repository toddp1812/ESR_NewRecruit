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28" documentId="8_{6A81E90A-F6D3-457A-B415-BA9F69045CE5}" xr6:coauthVersionLast="47" xr6:coauthVersionMax="47" xr10:uidLastSave="{2984671C-3B53-4AF7-89DB-607888A7E7F9}"/>
  <bookViews>
    <workbookView xWindow="585" yWindow="180" windowWidth="26610" windowHeight="14700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2" i="2" a="1"/>
  <c r="A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<sst xmlns="http://schemas.openxmlformats.org/spreadsheetml/2006/main" count="69" uniqueCount="42">
  <si>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</si>
  <si>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</si>
  <si>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</si>
  <si>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</si>
  <si>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</si>
  <si>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</si>
  <si>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</si>
  <si>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</si>
  <si>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</si>
  <si>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</si>
  <si>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Infantry Company (Asset)</t>
  </si>
  <si>
    <t>Artillery Battery (Asset)</t>
  </si>
  <si>
    <t>Formation\Unit</t>
  </si>
  <si>
    <t>x</t>
  </si>
  <si>
    <t>Infantry Battalion (Unit)</t>
  </si>
  <si>
    <t>Cavalry Squadron Group (Unit)</t>
  </si>
  <si>
    <t>Leichtes Infanterie-Bataillon</t>
  </si>
  <si>
    <t>Infanterie-Bataillon</t>
  </si>
  <si>
    <t>Artillerie zu Fuß Batterie</t>
  </si>
  <si>
    <t>Artillery zu Pferd Batterie</t>
  </si>
  <si>
    <t>Leichtes Kavallerie-Brigade</t>
  </si>
  <si>
    <t>Husaren Squadron Groups</t>
  </si>
  <si>
    <t>Chevauleger Squadron Groups</t>
  </si>
  <si>
    <t>Uhlanen Squadron Groups</t>
  </si>
  <si>
    <t>Korps Reservieren</t>
  </si>
  <si>
    <t>Artillery</t>
  </si>
  <si>
    <t>Reinforcements</t>
  </si>
  <si>
    <t>Reserveartillerie-Batterie</t>
  </si>
  <si>
    <t>Genie Sapeurs Kompagnie</t>
  </si>
  <si>
    <t>Infanterie-Division</t>
  </si>
  <si>
    <t>SX Leichtes Infanterie</t>
  </si>
  <si>
    <t>SX Infanterie</t>
  </si>
  <si>
    <t>SX Grenadiere</t>
  </si>
  <si>
    <t>SX Leib-Garde</t>
  </si>
  <si>
    <t>SX Kürassieren</t>
  </si>
  <si>
    <t>SX Husaren</t>
  </si>
  <si>
    <t>SX Chevauleger</t>
  </si>
  <si>
    <t>SX Uhlanen</t>
  </si>
  <si>
    <t>SX Reserveartillerie</t>
  </si>
  <si>
    <t>SX Fußartillerie</t>
  </si>
  <si>
    <t>SX Leichte Artillerie</t>
  </si>
  <si>
    <t>SX Pioniere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</si>
</sst>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topLeftCell="D3" workbookViewId="0">
      <selection activeCell="I3" sqref="I3:J14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0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3" t="s">
        <v>29</v>
      </c>
      <c r="B2" s="14" t="s">
        <v>6</v>
      </c>
      <c r="C2" s="11"/>
      <c r="D2" s="2" t="s">
        <v>16</v>
      </c>
      <c r="E2" s="2">
        <v>1</v>
      </c>
      <c r="F2" s="11"/>
      <c r="I2" s="5"/>
      <c r="J2" s="5"/>
    </row>
    <row r="3" spans="1:10" ht="71.25" customHeight="1" x14ac:dyDescent="0.25">
      <c r="A3" s="13"/>
      <c r="B3" s="14"/>
      <c r="C3" s="11"/>
      <c r="D3" s="2" t="s">
        <v>17</v>
      </c>
      <c r="E3" s="2">
        <v>6</v>
      </c>
      <c r="F3" s="11"/>
      <c r="I3" s="6" t="s">
        <v>30</v>
      </c>
      <c r="J3" s="6" t="s">
        <v>14</v>
      </c>
    </row>
    <row r="4" spans="1:10" ht="15" customHeight="1" x14ac:dyDescent="0.25">
      <c r="A4" s="13"/>
      <c r="B4" s="14"/>
      <c r="C4" s="11"/>
      <c r="D4" s="2" t="s">
        <v>18</v>
      </c>
      <c r="E4" s="2">
        <v>1</v>
      </c>
      <c r="F4" s="11"/>
      <c r="I4" s="6" t="s">
        <v>31</v>
      </c>
      <c r="J4" s="6" t="s">
        <v>14</v>
      </c>
    </row>
    <row r="5" spans="1:10" ht="85.5" customHeight="1" x14ac:dyDescent="0.25">
      <c r="A5" s="13"/>
      <c r="B5" s="14"/>
      <c r="C5" s="11"/>
      <c r="D5" s="2" t="s">
        <v>19</v>
      </c>
      <c r="E5" s="2">
        <v>1</v>
      </c>
      <c r="F5" s="11"/>
      <c r="I5" s="6" t="s">
        <v>32</v>
      </c>
      <c r="J5" s="6" t="s">
        <v>14</v>
      </c>
    </row>
    <row r="6" spans="1:10" ht="28.5" x14ac:dyDescent="0.25">
      <c r="A6" s="15" t="s">
        <v>20</v>
      </c>
      <c r="B6" s="16" t="s">
        <v>7</v>
      </c>
      <c r="C6" s="12" t="s">
        <v>8</v>
      </c>
      <c r="D6" s="3" t="s">
        <v>21</v>
      </c>
      <c r="E6" s="3">
        <v>4</v>
      </c>
      <c r="F6" s="12"/>
      <c r="I6" s="6" t="s">
        <v>33</v>
      </c>
      <c r="J6" s="6" t="s">
        <v>15</v>
      </c>
    </row>
    <row r="7" spans="1:10" ht="28.5" x14ac:dyDescent="0.25">
      <c r="A7" s="15"/>
      <c r="B7" s="16"/>
      <c r="C7" s="12"/>
      <c r="D7" s="3" t="s">
        <v>22</v>
      </c>
      <c r="E7" s="3">
        <v>2</v>
      </c>
      <c r="F7" s="12"/>
      <c r="I7" s="6" t="s">
        <v>34</v>
      </c>
      <c r="J7" s="6" t="s">
        <v>15</v>
      </c>
    </row>
    <row r="8" spans="1:10" ht="28.5" x14ac:dyDescent="0.25">
      <c r="A8" s="15"/>
      <c r="B8" s="16"/>
      <c r="C8" s="12"/>
      <c r="D8" s="3" t="s">
        <v>23</v>
      </c>
      <c r="E8" s="3">
        <v>2</v>
      </c>
      <c r="F8" s="12"/>
      <c r="I8" s="6" t="s">
        <v>35</v>
      </c>
      <c r="J8" s="6" t="s">
        <v>15</v>
      </c>
    </row>
    <row r="9" spans="1:10" ht="15" customHeight="1" x14ac:dyDescent="0.25">
      <c r="A9" s="13" t="s">
        <v>24</v>
      </c>
      <c r="B9" s="14" t="s">
        <v>25</v>
      </c>
      <c r="C9" s="11" t="s">
        <v>26</v>
      </c>
      <c r="D9" s="2" t="s">
        <v>27</v>
      </c>
      <c r="E9" s="2">
        <v>2</v>
      </c>
      <c r="F9" s="11"/>
      <c r="G9"/>
      <c r="H9"/>
      <c r="I9" t="s">
        <v>36</v>
      </c>
      <c r="J9" t="s">
        <v>15</v>
      </c>
    </row>
    <row r="10" spans="1:10" ht="15" customHeight="1" x14ac:dyDescent="0.25">
      <c r="A10" s="13"/>
      <c r="B10" s="14"/>
      <c r="C10" s="11"/>
      <c r="D10" s="2" t="s">
        <v>18</v>
      </c>
      <c r="E10" s="2">
        <v>2</v>
      </c>
      <c r="F10" s="11"/>
      <c r="G10"/>
      <c r="H10"/>
      <c r="I10" t="s">
        <v>37</v>
      </c>
      <c r="J10" t="s">
        <v>15</v>
      </c>
    </row>
    <row r="11" spans="1:10" x14ac:dyDescent="0.25">
      <c r="A11" s="13"/>
      <c r="B11" s="14"/>
      <c r="C11" s="11"/>
      <c r="D11" s="2" t="s">
        <v>28</v>
      </c>
      <c r="E11" s="2">
        <v>1</v>
      </c>
      <c r="F11" s="11"/>
      <c r="G11"/>
      <c r="H11"/>
      <c r="I11" t="s">
        <v>38</v>
      </c>
      <c r="J11" t="s">
        <v>11</v>
      </c>
    </row>
    <row r="12" spans="1:10" ht="32.25" customHeight="1" x14ac:dyDescent="0.25">
      <c r="G12"/>
      <c r="H12"/>
      <c r="I12" t="s">
        <v>39</v>
      </c>
      <c r="J12" t="s">
        <v>11</v>
      </c>
    </row>
    <row r="13" spans="1:10" ht="36.75" customHeight="1" x14ac:dyDescent="0.25">
      <c r="I13" s="6" t="s">
        <v>40</v>
      </c>
      <c r="J13" s="6" t="s">
        <v>11</v>
      </c>
    </row>
    <row r="14" spans="1:10" x14ac:dyDescent="0.25">
      <c r="I14" s="6" t="s">
        <v>41</v>
      </c>
      <c r="J14" s="6" t="s">
        <v>10</v>
      </c>
    </row>
    <row r="15" spans="1:10" ht="28.5" customHeight="1" x14ac:dyDescent="0.25">
      <c r="I15" s="6"/>
      <c r="J15" s="6"/>
    </row>
    <row r="16" spans="1:10" x14ac:dyDescent="0.25">
      <c r="I16" s="6"/>
      <c r="J16" s="6"/>
    </row>
    <row r="17" spans="9:10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12">
    <mergeCell ref="F6:F8"/>
    <mergeCell ref="A9:A11"/>
    <mergeCell ref="B9:B11"/>
    <mergeCell ref="C9:C11"/>
    <mergeCell ref="F9:F11"/>
    <mergeCell ref="A2:A5"/>
    <mergeCell ref="B2:B5"/>
    <mergeCell ref="C2:C5"/>
    <mergeCell ref="F2:F5"/>
    <mergeCell ref="A6:A8"/>
    <mergeCell ref="B6:B8"/>
    <mergeCell ref="C6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O4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N4" sqref="N4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1" width="14" customWidth="1"/>
    <col min="12" max="12" width="16.42578125" customWidth="1"/>
    <col min="13" max="13" width="16.28515625" customWidth="1"/>
    <col min="14" max="15" width="14" customWidth="1"/>
    <col min="16" max="29" width="16.85546875" customWidth="1"/>
  </cols>
  <sheetData>
    <row r="1" spans="1:15" s="7" customFormat="1" ht="51" customHeight="1" x14ac:dyDescent="0.25">
      <c r="A1" s="7" t="s">
        <v>12</v>
      </c>
      <c r="B1" s="7" t="s">
        <v>1</v>
      </c>
      <c r="C1" s="7" t="s">
        <v>2</v>
      </c>
      <c r="D1" s="7" t="str" cm="1">
        <f t="array" ref="D1:O1">TRANSPOSE(_xlfn._xlws.FILTER(BaselineFormations!I:I,(BaselineFormations!I:I&lt;&gt;"")*(BaselineFormations!I:I&lt;&gt;"Unit")))</f>
        <v>SX Leichtes Infanterie</v>
      </c>
      <c r="E1" s="7" t="str">
        <v>SX Infanterie</v>
      </c>
      <c r="F1" s="7" t="str">
        <v>SX Grenadiere</v>
      </c>
      <c r="G1" s="7" t="str">
        <v>SX Leib-Garde</v>
      </c>
      <c r="H1" s="7" t="str">
        <v>SX Kürassieren</v>
      </c>
      <c r="I1" s="7" t="str">
        <v>SX Husaren</v>
      </c>
      <c r="J1" s="7" t="str">
        <v>SX Chevauleger</v>
      </c>
      <c r="K1" s="7" t="str">
        <v>SX Uhlanen</v>
      </c>
      <c r="L1" s="7" t="str">
        <v>SX Reserveartillerie</v>
      </c>
      <c r="M1" s="7" t="str">
        <v>SX Fußartillerie</v>
      </c>
      <c r="N1" s="7" t="str">
        <v>SX Leichte Artillerie</v>
      </c>
      <c r="O1" s="7" t="str">
        <v>SX Pioniere</v>
      </c>
    </row>
    <row r="2" spans="1:15" x14ac:dyDescent="0.25">
      <c r="A2" t="str" cm="1">
        <f t="array" ref="A2:C4">_xlfn.LET(_xlpm.data,_xlfn._xlws.FILTER(BaselineFormations!A:C,(BaselineFormations!A:A&lt;&gt;"Formation")*(NOT(ISBLANK(BaselineFormations!A:A)))),IF(_xlpm.data=0,"",_xlpm.data))</f>
        <v>Infanterie-Division</v>
      </c>
      <c r="B2" t="str">
        <v>Infantry</v>
      </c>
      <c r="C2" t="str">
        <v/>
      </c>
      <c r="D2" t="s">
        <v>13</v>
      </c>
      <c r="E2" t="s">
        <v>13</v>
      </c>
      <c r="F2" t="s">
        <v>13</v>
      </c>
      <c r="G2" t="s">
        <v>13</v>
      </c>
      <c r="L2" t="s">
        <v>13</v>
      </c>
      <c r="M2" t="s">
        <v>13</v>
      </c>
      <c r="N2" t="s">
        <v>13</v>
      </c>
      <c r="O2" t="s">
        <v>13</v>
      </c>
    </row>
    <row r="3" spans="1:15" x14ac:dyDescent="0.25">
      <c r="A3" t="str">
        <v>Leichtes Kavallerie-Brigade</v>
      </c>
      <c r="B3" t="str">
        <v>Cavalry</v>
      </c>
      <c r="C3" t="str">
        <v>Rapid Deployment</v>
      </c>
      <c r="H3" t="s">
        <v>13</v>
      </c>
      <c r="I3" t="s">
        <v>13</v>
      </c>
      <c r="J3" t="s">
        <v>13</v>
      </c>
      <c r="K3" t="s">
        <v>13</v>
      </c>
      <c r="N3" t="s">
        <v>13</v>
      </c>
    </row>
    <row r="4" spans="1:15" x14ac:dyDescent="0.25">
      <c r="A4" t="str">
        <v>Korps Reservieren</v>
      </c>
      <c r="B4" t="str">
        <v>Artillery</v>
      </c>
      <c r="C4" t="str">
        <v>Reinforcements</v>
      </c>
      <c r="L4" t="s">
        <v>13</v>
      </c>
      <c r="M4" t="s">
        <v>13</v>
      </c>
      <c r="O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2026-06-14T19:16:44Z</dcterms:modified>
</cp:coreProperties>
</file>