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156" documentId="8_{2659956D-E850-43CB-8414-2D912463ECF7}" xr6:coauthVersionLast="47" xr6:coauthVersionMax="47" xr10:uidLastSave="{883D82D0-0355-4550-AD9E-67207041195E}"/>
  <bookViews>
    <workbookView xWindow="750" yWindow="600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_xlfn.ANCHORARRAY(ExpandedFormations!$A$3)</definedName>
    <definedName name="FromArray_3">_xlfn.ANCHORARRAY(ExpandedFormations!$D$3)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  <c r="D1" i="2" a="1"/>
  <c r="D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<sst xmlns="http://schemas.openxmlformats.org/spreadsheetml/2006/main" count="140" uniqueCount="60">
  <si>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</si>
  <si>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</si>
  <si>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</si>
  <si>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</si>
  <si>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</si>
  <si>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</si>
  <si>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</si>
  <si>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</si>
  <si>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</si>
  <si>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Artillery</t>
  </si>
  <si>
    <t>Reinforcements</t>
  </si>
  <si>
    <t>Mixed</t>
  </si>
  <si>
    <t>Genzer Bataillone</t>
  </si>
  <si>
    <t>Chevaulégèr Sqn Grps</t>
  </si>
  <si>
    <t>Würst Artillerie-Batterie</t>
  </si>
  <si>
    <t>Big Battalions*</t>
  </si>
  <si>
    <t>Infanterie Bataillone</t>
  </si>
  <si>
    <t>Brigade-Batterie</t>
  </si>
  <si>
    <t>Enthusiastic</t>
  </si>
  <si>
    <t>Grenadier Bataillone</t>
  </si>
  <si>
    <t>Husaren Sqn Grps</t>
  </si>
  <si>
    <t>Chevauleger Sqn Grps</t>
  </si>
  <si>
    <t>Dragoner Sqn Grps</t>
  </si>
  <si>
    <t>Würst Artillerie</t>
  </si>
  <si>
    <t>6**</t>
  </si>
  <si>
    <t>**Any mix</t>
  </si>
  <si>
    <t>Kürassiere Sqn Grps</t>
  </si>
  <si>
    <t>Position-Batterie</t>
  </si>
  <si>
    <t>Leitche Artillerie</t>
  </si>
  <si>
    <t>Unit</t>
  </si>
  <si>
    <t>Infantry Battalion</t>
  </si>
  <si>
    <t>Infantry Company (Asset)</t>
  </si>
  <si>
    <t>Cavalry Squadron Group</t>
  </si>
  <si>
    <t>Artillery Battery (Asset)</t>
  </si>
  <si>
    <t>Formation\Unit</t>
  </si>
  <si>
    <t>x</t>
  </si>
  <si>
    <t>AU Avant Garde</t>
  </si>
  <si>
    <t>AU Infanterie Division</t>
  </si>
  <si>
    <t>AU Reservieren Division</t>
  </si>
  <si>
    <t>AU Leichte Kavallerie Brigade</t>
  </si>
  <si>
    <t>AU Kavallerie Brigade/Division</t>
  </si>
  <si>
    <t>AU Kürassier Division</t>
  </si>
  <si>
    <t>AU Korps Reservieren</t>
  </si>
  <si>
    <t>AU Grenzer</t>
  </si>
  <si>
    <t>AU Jägere</t>
  </si>
  <si>
    <t>AU Infanterie</t>
  </si>
  <si>
    <t>AU Grenadiere</t>
  </si>
  <si>
    <t>AU Landwehr</t>
  </si>
  <si>
    <t>AU Pioneere</t>
  </si>
  <si>
    <t>AU Sapeurs</t>
  </si>
  <si>
    <t>AU Kürassiere</t>
  </si>
  <si>
    <t>AU Chevaulegers</t>
  </si>
  <si>
    <t>AU Dragoner</t>
  </si>
  <si>
    <t>AU Husaren</t>
  </si>
  <si>
    <t>AU Ulanen</t>
  </si>
  <si>
    <t>AU Position-Batterien</t>
  </si>
  <si>
    <t>AU Brigade-Batterien</t>
  </si>
  <si>
    <t>AU Leitche Artillerie</t>
  </si>
  <si>
    <t>AU Würst Artillerie</t>
  </si>
  <si>
    <t>AU 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</si>
</sst>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J18"/>
  <sheetViews>
    <sheetView workbookViewId="0">
      <selection activeCell="I3" sqref="I3:I18"/>
    </sheetView>
  </sheetViews>
  <sheetFormatPr defaultRowHeight="15" x14ac:dyDescent="0.25"/>
  <cols>
    <col min="1" max="10" width="25.5703125" style="10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29</v>
      </c>
      <c r="J1" s="6" t="s">
        <v>1</v>
      </c>
    </row>
    <row r="2" spans="1:10" ht="57" customHeight="1" x14ac:dyDescent="0.25">
      <c r="A2" s="11" t="s">
        <v>36</v>
      </c>
      <c r="B2" s="11" t="s">
        <v>11</v>
      </c>
      <c r="C2" s="11" t="s">
        <v>8</v>
      </c>
      <c r="D2" s="2" t="s">
        <v>12</v>
      </c>
      <c r="E2" s="3">
        <v>4</v>
      </c>
      <c r="F2" s="11"/>
      <c r="I2" s="7"/>
      <c r="J2" s="7"/>
    </row>
    <row r="3" spans="1:10" ht="71.25" customHeight="1" x14ac:dyDescent="0.25">
      <c r="A3" s="11"/>
      <c r="B3" s="11"/>
      <c r="C3" s="11"/>
      <c r="D3" s="2" t="s">
        <v>13</v>
      </c>
      <c r="E3" s="3">
        <v>4</v>
      </c>
      <c r="F3" s="11"/>
      <c r="I3" s="8" t="s">
        <v>43</v>
      </c>
      <c r="J3" s="8" t="s">
        <v>30</v>
      </c>
    </row>
    <row r="4" spans="1:10" ht="42.75" customHeight="1" x14ac:dyDescent="0.25">
      <c r="A4" s="11"/>
      <c r="B4" s="11"/>
      <c r="C4" s="11"/>
      <c r="D4" s="2" t="s">
        <v>14</v>
      </c>
      <c r="E4" s="3">
        <v>1</v>
      </c>
      <c r="F4" s="11"/>
      <c r="I4" s="8" t="s">
        <v>44</v>
      </c>
      <c r="J4" s="8" t="s">
        <v>30</v>
      </c>
    </row>
    <row r="5" spans="1:10" ht="85.5" customHeight="1" x14ac:dyDescent="0.25">
      <c r="A5" s="12" t="s">
        <v>37</v>
      </c>
      <c r="B5" s="12" t="s">
        <v>6</v>
      </c>
      <c r="C5" s="12" t="s">
        <v>15</v>
      </c>
      <c r="D5" s="4" t="s">
        <v>16</v>
      </c>
      <c r="E5" s="5">
        <v>9</v>
      </c>
      <c r="F5" s="12"/>
      <c r="I5" s="8" t="s">
        <v>45</v>
      </c>
      <c r="J5" s="8" t="s">
        <v>30</v>
      </c>
    </row>
    <row r="6" spans="1:10" x14ac:dyDescent="0.25">
      <c r="A6" s="12"/>
      <c r="B6" s="12"/>
      <c r="C6" s="12"/>
      <c r="D6" s="4" t="s">
        <v>17</v>
      </c>
      <c r="E6" s="5">
        <v>1</v>
      </c>
      <c r="F6" s="12"/>
      <c r="I6" s="8" t="s">
        <v>46</v>
      </c>
      <c r="J6" s="8" t="s">
        <v>30</v>
      </c>
    </row>
    <row r="7" spans="1:10" x14ac:dyDescent="0.25">
      <c r="A7" s="2" t="s">
        <v>38</v>
      </c>
      <c r="B7" s="2" t="s">
        <v>6</v>
      </c>
      <c r="C7" s="2" t="s">
        <v>18</v>
      </c>
      <c r="D7" s="2" t="s">
        <v>19</v>
      </c>
      <c r="E7" s="3">
        <v>12</v>
      </c>
      <c r="F7" s="2"/>
      <c r="I7" s="8" t="s">
        <v>47</v>
      </c>
      <c r="J7" s="8" t="s">
        <v>30</v>
      </c>
    </row>
    <row r="8" spans="1:10" ht="28.5" customHeight="1" x14ac:dyDescent="0.25">
      <c r="A8" s="4" t="s">
        <v>39</v>
      </c>
      <c r="B8" s="4" t="s">
        <v>7</v>
      </c>
      <c r="C8" s="4" t="s">
        <v>8</v>
      </c>
      <c r="D8" s="4" t="s">
        <v>20</v>
      </c>
      <c r="E8" s="5">
        <v>8</v>
      </c>
      <c r="F8" s="4"/>
      <c r="I8" s="8" t="s">
        <v>48</v>
      </c>
      <c r="J8" s="8" t="s">
        <v>31</v>
      </c>
    </row>
    <row r="9" spans="1:10" ht="28.5" customHeight="1" x14ac:dyDescent="0.25">
      <c r="A9" s="11" t="s">
        <v>40</v>
      </c>
      <c r="B9" s="11" t="s">
        <v>7</v>
      </c>
      <c r="C9" s="11" t="s">
        <v>8</v>
      </c>
      <c r="D9" s="2" t="s">
        <v>21</v>
      </c>
      <c r="E9" s="9"/>
      <c r="F9" s="11" t="s">
        <v>25</v>
      </c>
      <c r="I9" s="8" t="s">
        <v>49</v>
      </c>
      <c r="J9" s="8" t="s">
        <v>31</v>
      </c>
    </row>
    <row r="10" spans="1:10" ht="15" customHeight="1" x14ac:dyDescent="0.25">
      <c r="A10" s="11"/>
      <c r="B10" s="11"/>
      <c r="C10" s="11"/>
      <c r="D10" s="2" t="s">
        <v>22</v>
      </c>
      <c r="E10" s="3" t="s">
        <v>24</v>
      </c>
      <c r="F10" s="11"/>
      <c r="I10" s="8" t="s">
        <v>50</v>
      </c>
      <c r="J10" s="8" t="s">
        <v>32</v>
      </c>
    </row>
    <row r="11" spans="1:10" ht="28.5" customHeight="1" x14ac:dyDescent="0.25">
      <c r="A11" s="11"/>
      <c r="B11" s="11"/>
      <c r="C11" s="11"/>
      <c r="D11" s="2" t="s">
        <v>23</v>
      </c>
      <c r="E11" s="3">
        <v>1</v>
      </c>
      <c r="F11" s="11"/>
      <c r="I11" s="8" t="s">
        <v>51</v>
      </c>
      <c r="J11" s="8" t="s">
        <v>32</v>
      </c>
    </row>
    <row r="12" spans="1:10" ht="32.25" customHeight="1" x14ac:dyDescent="0.25">
      <c r="A12" s="12" t="s">
        <v>41</v>
      </c>
      <c r="B12" s="12" t="s">
        <v>7</v>
      </c>
      <c r="C12" s="12" t="s">
        <v>8</v>
      </c>
      <c r="D12" s="4" t="s">
        <v>26</v>
      </c>
      <c r="E12" s="5">
        <v>6</v>
      </c>
      <c r="F12" s="12"/>
      <c r="I12" s="8" t="s">
        <v>52</v>
      </c>
      <c r="J12" s="8" t="s">
        <v>32</v>
      </c>
    </row>
    <row r="13" spans="1:10" ht="36.75" customHeight="1" x14ac:dyDescent="0.25">
      <c r="A13" s="12"/>
      <c r="B13" s="12"/>
      <c r="C13" s="12"/>
      <c r="D13" s="4" t="s">
        <v>23</v>
      </c>
      <c r="E13" s="5">
        <v>1</v>
      </c>
      <c r="F13" s="12"/>
      <c r="I13" s="8" t="s">
        <v>53</v>
      </c>
      <c r="J13" s="8" t="s">
        <v>32</v>
      </c>
    </row>
    <row r="14" spans="1:10" ht="28.5" customHeight="1" x14ac:dyDescent="0.25">
      <c r="A14" s="11" t="s">
        <v>42</v>
      </c>
      <c r="B14" s="11" t="s">
        <v>9</v>
      </c>
      <c r="C14" s="11" t="s">
        <v>10</v>
      </c>
      <c r="D14" s="2" t="s">
        <v>27</v>
      </c>
      <c r="E14" s="3">
        <v>2</v>
      </c>
      <c r="F14" s="11"/>
      <c r="I14" s="8" t="s">
        <v>54</v>
      </c>
      <c r="J14" s="8" t="s">
        <v>32</v>
      </c>
    </row>
    <row r="15" spans="1:10" ht="28.5" customHeight="1" x14ac:dyDescent="0.25">
      <c r="A15" s="11"/>
      <c r="B15" s="11"/>
      <c r="C15" s="11"/>
      <c r="D15" s="2" t="s">
        <v>17</v>
      </c>
      <c r="E15" s="3">
        <v>3</v>
      </c>
      <c r="F15" s="11"/>
      <c r="I15" s="8" t="s">
        <v>55</v>
      </c>
      <c r="J15" s="8" t="s">
        <v>33</v>
      </c>
    </row>
    <row r="16" spans="1:10" ht="28.5" customHeight="1" x14ac:dyDescent="0.25">
      <c r="A16" s="11"/>
      <c r="B16" s="11"/>
      <c r="C16" s="11"/>
      <c r="D16" s="2" t="s">
        <v>28</v>
      </c>
      <c r="E16" s="3">
        <v>2</v>
      </c>
      <c r="F16" s="11"/>
      <c r="I16" s="8" t="s">
        <v>56</v>
      </c>
      <c r="J16" s="8" t="s">
        <v>33</v>
      </c>
    </row>
    <row r="17" spans="9:10" ht="28.5" customHeight="1" x14ac:dyDescent="0.25">
      <c r="I17" s="8" t="s">
        <v>57</v>
      </c>
      <c r="J17" s="8" t="s">
        <v>33</v>
      </c>
    </row>
    <row r="18" spans="9:10" x14ac:dyDescent="0.25">
      <c r="I18" s="8" t="s">
        <v>58</v>
      </c>
      <c r="J18" s="8" t="s">
        <v>33</v>
      </c>
    </row>
  </sheetData>
  <mergeCells count="20">
    <mergeCell ref="A2:A4"/>
    <mergeCell ref="B2:B4"/>
    <mergeCell ref="C2:C4"/>
    <mergeCell ref="F2:F4"/>
    <mergeCell ref="A5:A6"/>
    <mergeCell ref="B5:B6"/>
    <mergeCell ref="C5:C6"/>
    <mergeCell ref="F5:F6"/>
    <mergeCell ref="A9:A11"/>
    <mergeCell ref="B9:B11"/>
    <mergeCell ref="C9:C11"/>
    <mergeCell ref="F9:F11"/>
    <mergeCell ref="C12:C13"/>
    <mergeCell ref="A14:A16"/>
    <mergeCell ref="B14:B16"/>
    <mergeCell ref="C14:C16"/>
    <mergeCell ref="F14:F16"/>
    <mergeCell ref="A12:A13"/>
    <mergeCell ref="B12:B13"/>
    <mergeCell ref="F12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S9"/>
  <sheetViews>
    <sheetView tabSelected="1" workbookViewId="0"/>
  </sheetViews>
  <sheetFormatPr defaultRowHeight="15" x14ac:dyDescent="0.25"/>
  <cols>
    <col min="1" max="3" width="24.85546875" customWidth="1"/>
    <col min="4" max="18" width="14" customWidth="1"/>
  </cols>
  <sheetData>
    <row r="1" spans="1:19" s="10" customFormat="1" ht="30" x14ac:dyDescent="0.25">
      <c r="A1" s="10" t="s">
        <v>34</v>
      </c>
      <c r="B1" s="10" t="s">
        <v>1</v>
      </c>
      <c r="C1" s="10" t="s">
        <v>2</v>
      </c>
      <c r="D1" s="10" t="str" cm="1">
        <f t="array" ref="D1:S1">TRANSPOSE( BaselineFormations!I3:I18 )</f>
        <v>AU Grenzer</v>
      </c>
      <c r="E1" s="10" t="str">
        <v>AU Jägere</v>
      </c>
      <c r="F1" s="10" t="str">
        <v>AU Infanterie</v>
      </c>
      <c r="G1" s="10" t="str">
        <v>AU Grenadiere</v>
      </c>
      <c r="H1" s="10" t="str">
        <v>AU Landwehr</v>
      </c>
      <c r="I1" s="10" t="str">
        <v>AU Pioneere</v>
      </c>
      <c r="J1" s="10" t="str">
        <v>AU Sapeurs</v>
      </c>
      <c r="K1" s="10" t="str">
        <v>AU Kürassiere</v>
      </c>
      <c r="L1" s="10" t="str">
        <v>AU Chevaulegers</v>
      </c>
      <c r="M1" s="10" t="str">
        <v>AU Dragoner</v>
      </c>
      <c r="N1" s="10" t="str">
        <v>AU Husaren</v>
      </c>
      <c r="O1" s="10" t="str">
        <v>AU Ulanen</v>
      </c>
      <c r="P1" s="10" t="str">
        <v>AU Position-Batterien</v>
      </c>
      <c r="Q1" s="10" t="str">
        <v>AU Brigade-Batterien</v>
      </c>
      <c r="R1" s="10" t="str">
        <v>AU Leitche Artillerie</v>
      </c>
      <c r="S1" s="10" t="str">
        <v>AU Würst Artillerie</v>
      </c>
    </row>
    <row r="2" spans="1:19" s="10" customFormat="1" x14ac:dyDescent="0.25">
      <c r="A2" s="10" t="s">
        <v>59</v>
      </c>
      <c r="B2" s="10" t="s">
        <v>11</v>
      </c>
      <c r="D2" s="10" t="s">
        <v>35</v>
      </c>
      <c r="E2" s="10" t="s">
        <v>35</v>
      </c>
      <c r="F2" s="10" t="s">
        <v>35</v>
      </c>
      <c r="G2" s="10" t="s">
        <v>35</v>
      </c>
      <c r="H2" s="10" t="s">
        <v>35</v>
      </c>
      <c r="I2" s="10" t="s">
        <v>35</v>
      </c>
      <c r="J2" s="10" t="s">
        <v>35</v>
      </c>
      <c r="K2" s="10" t="s">
        <v>35</v>
      </c>
      <c r="L2" s="10" t="s">
        <v>35</v>
      </c>
      <c r="M2" s="10" t="s">
        <v>35</v>
      </c>
      <c r="N2" s="10" t="s">
        <v>35</v>
      </c>
      <c r="O2" s="10" t="s">
        <v>35</v>
      </c>
      <c r="P2" s="10" t="s">
        <v>35</v>
      </c>
      <c r="Q2" s="10" t="s">
        <v>35</v>
      </c>
      <c r="R2" s="10" t="s">
        <v>35</v>
      </c>
      <c r="S2" s="10" t="s">
        <v>35</v>
      </c>
    </row>
    <row r="3" spans="1:19" x14ac:dyDescent="0.25">
      <c r="A3" t="str" cm="1">
        <f t="array" ref="A3:C9">_xlfn.LET(_xlpm.data,_xlfn._xlws.FILTER(BaselineFormations!A:C,(BaselineFormations!A:A&lt;&gt;"Formation")*(NOT(ISBLANK(BaselineFormations!A:A)))),IF(_xlpm.data=0,"",_xlpm.data))</f>
        <v>AU Avant Garde</v>
      </c>
      <c r="B3" t="str">
        <v>Mixed</v>
      </c>
      <c r="C3" t="str">
        <v>Rapid Deployment</v>
      </c>
      <c r="D3" t="s">
        <v>35</v>
      </c>
      <c r="E3" t="s">
        <v>35</v>
      </c>
      <c r="L3" t="s">
        <v>35</v>
      </c>
      <c r="Q3" t="s">
        <v>35</v>
      </c>
      <c r="R3" t="s">
        <v>35</v>
      </c>
      <c r="S3" t="s">
        <v>35</v>
      </c>
    </row>
    <row r="4" spans="1:19" x14ac:dyDescent="0.25">
      <c r="A4" t="str">
        <v>AU Infanterie Division</v>
      </c>
      <c r="B4" t="str">
        <v>Infantry</v>
      </c>
      <c r="C4" t="str">
        <v>Big Battalions*</v>
      </c>
      <c r="E4" t="s">
        <v>35</v>
      </c>
      <c r="F4" t="s">
        <v>35</v>
      </c>
      <c r="H4" t="s">
        <v>35</v>
      </c>
      <c r="I4" t="s">
        <v>35</v>
      </c>
      <c r="J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</row>
    <row r="5" spans="1:19" x14ac:dyDescent="0.25">
      <c r="A5" t="str">
        <v>AU Reservieren Division</v>
      </c>
      <c r="B5" t="str">
        <v>Infantry</v>
      </c>
      <c r="C5" t="str">
        <v>Enthusiastic</v>
      </c>
      <c r="G5" t="s">
        <v>35</v>
      </c>
      <c r="I5" t="s">
        <v>35</v>
      </c>
      <c r="J5" t="s">
        <v>35</v>
      </c>
      <c r="L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</row>
    <row r="6" spans="1:19" x14ac:dyDescent="0.25">
      <c r="A6" t="str">
        <v>AU Leichte Kavallerie Brigade</v>
      </c>
      <c r="B6" t="str">
        <v>Cavalry</v>
      </c>
      <c r="C6" t="str">
        <v>Rapid Deployment</v>
      </c>
      <c r="L6" t="s">
        <v>35</v>
      </c>
      <c r="N6" t="s">
        <v>35</v>
      </c>
      <c r="O6" t="s">
        <v>35</v>
      </c>
      <c r="S6" t="s">
        <v>35</v>
      </c>
    </row>
    <row r="7" spans="1:19" x14ac:dyDescent="0.25">
      <c r="A7" t="str">
        <v>AU Kavallerie Brigade/Division</v>
      </c>
      <c r="B7" t="str">
        <v>Cavalry</v>
      </c>
      <c r="C7" t="str">
        <v>Rapid Deployment</v>
      </c>
      <c r="L7" t="s">
        <v>35</v>
      </c>
      <c r="M7" t="s">
        <v>35</v>
      </c>
      <c r="S7" t="s">
        <v>35</v>
      </c>
    </row>
    <row r="8" spans="1:19" x14ac:dyDescent="0.25">
      <c r="A8" t="str">
        <v>AU Kürassier Division</v>
      </c>
      <c r="B8" t="str">
        <v>Cavalry</v>
      </c>
      <c r="C8" t="str">
        <v>Rapid Deployment</v>
      </c>
      <c r="K8" t="s">
        <v>35</v>
      </c>
      <c r="S8" t="s">
        <v>35</v>
      </c>
    </row>
    <row r="9" spans="1:19" x14ac:dyDescent="0.25">
      <c r="A9" t="str">
        <v>AU Korps Reservieren</v>
      </c>
      <c r="B9" t="str">
        <v>Artillery</v>
      </c>
      <c r="C9" t="str">
        <v>Reinforcements</v>
      </c>
      <c r="I9" t="s">
        <v>35</v>
      </c>
      <c r="J9" t="s">
        <v>35</v>
      </c>
      <c r="P9" t="s">
        <v>35</v>
      </c>
      <c r="Q9" t="s">
        <v>35</v>
      </c>
      <c r="R9" t="s">
        <v>35</v>
      </c>
      <c r="S9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2026-06-21T18:40:47Z</dcterms:modified>
</cp:coreProperties>
</file>