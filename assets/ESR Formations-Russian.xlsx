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"/>
    </mc:Choice>
  </mc:AlternateContent>
  <xr:revisionPtr revIDLastSave="96" documentId="8_{E90DCEA3-0D93-4AD5-83F7-85788FB57FCF}" xr6:coauthVersionLast="47" xr6:coauthVersionMax="47" xr10:uidLastSave="{A044E0C7-9AFC-4057-8164-642A5131679A}"/>
  <bookViews>
    <workbookView xWindow="6405" yWindow="285" windowWidth="21285" windowHeight="14700" activeTab="1" xr2:uid="{20271C60-C4FB-4B77-A1B3-909BAACA5FD5}"/>
  </bookViews>
  <sheets>
    <sheet name="BaselineFormations" sheetId="1" r:id="rId1"/>
    <sheet name="ExpandedFormations" sheetId="2" r:id="rId2"/>
  </sheets>
  <definedNames>
    <definedName name="FromArray_1">_xlfn.ANCHORARRAY(ExpandedFormations!$A$2)</definedName>
    <definedName name="FromArray_3">_xlfn.ANCHORARRAY(ExpandedFormations!$D$2)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2" l="1" a="1"/>
  <c r="A2" i="2" s="1"/>
  <c r="D1" i="2" a="1"/>
  <c r="D1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8D5E87-B855-46E5-9858-A319AD55B056}" keepAlive="1" name="Query - FromArray_1" description="Connection to the 'FromArray_1' query in the workbook." type="5" refreshedVersion="0" background="1" saveData="1">
    <dbPr connection="Provider=Microsoft.Mashup.OleDb.1;Data Source=$Workbook$;Location=FromArray_1;Extended Properties=&quot;&quot;" command="SELECT * FROM [FromArray_1]"/>
  </connection>
  <connection id="2" xr16:uid="{BC6D6506-3550-4644-A0CA-42FD572CEE76}" keepAlive="1" name="Query - FromArray_3" description="Connection to the 'FromArray_3' query in the workbook." type="5" refreshedVersion="0" background="1" saveData="1">
    <dbPr connection="Provider=Microsoft.Mashup.OleDb.1;Data Source=$Workbook$;Location=FromArray_3;Extended Properties=&quot;&quot;" command="SELECT * FROM [FromArray_3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<sst xmlns="http://schemas.openxmlformats.org/spreadsheetml/2006/main" count="152" uniqueCount="72">
  <si>
    <t>Formation</t>
  </si>
  <si>
    <t>Type</t>
  </si>
  <si>
    <t>Traits</t>
  </si>
  <si>
    <t>Units</t>
  </si>
  <si>
    <t>QTY</t>
  </si>
  <si>
    <t>Notes</t>
  </si>
  <si>
    <t>Infantry</t>
  </si>
  <si>
    <t>Cavalry</t>
  </si>
  <si>
    <t>Rapid Deployment</t>
  </si>
  <si>
    <t>Artillery</t>
  </si>
  <si>
    <t>Reinforcements</t>
  </si>
  <si>
    <t>Enthusiastic</t>
  </si>
  <si>
    <t>Unit</t>
  </si>
  <si>
    <t>Infantry Battalion</t>
  </si>
  <si>
    <t>Infantry Company (Asset)</t>
  </si>
  <si>
    <t>Cavalry Squadron Group</t>
  </si>
  <si>
    <t>Artillery Battery (Asset)</t>
  </si>
  <si>
    <t>Formation\Unit</t>
  </si>
  <si>
    <t>x</t>
  </si>
  <si>
    <t>Yegerskiy Batal’ony</t>
  </si>
  <si>
    <t>Pehotnaya Batal’ony</t>
  </si>
  <si>
    <t>Legkaya Artilleriyskaya Batareya</t>
  </si>
  <si>
    <t>Grenaderskaya Diviziya</t>
  </si>
  <si>
    <t>Grenaderskaya Batal’ony</t>
  </si>
  <si>
    <t>Limit two Grenaderskaya Diviziya</t>
  </si>
  <si>
    <t>Svodno-Grenaderskaya Divizya</t>
  </si>
  <si>
    <t>Svodno-Grenaderskaya Batal’ony</t>
  </si>
  <si>
    <t>Legkaya Kavaleriya</t>
  </si>
  <si>
    <t>Gusarskaya Squadron Groups</t>
  </si>
  <si>
    <t>Konno-Artilleriyskaya Batareya</t>
  </si>
  <si>
    <t>Kavaleriyskaya Brigada</t>
  </si>
  <si>
    <t>Dragunskiy Squadron Groups</t>
  </si>
  <si>
    <t>Kirasirskaya Brigada</t>
  </si>
  <si>
    <t>Kirasirkaya Squadron Groups</t>
  </si>
  <si>
    <t>Donskaya Kazachya Brigada</t>
  </si>
  <si>
    <t>Brittle</t>
  </si>
  <si>
    <t>Donskaya Kazachya Squadron Groups</t>
  </si>
  <si>
    <t>Rezervnaya Artilleriya</t>
  </si>
  <si>
    <t>Batareynaya Artilleriyskaya Batareya</t>
  </si>
  <si>
    <t>Pionery Rota</t>
  </si>
  <si>
    <t>Limit one Rezervnaya Artilleriya per Force</t>
  </si>
  <si>
    <t>Leib-Gvardii Yegerskiy</t>
  </si>
  <si>
    <t>Leib-Gvardii Pehotniy</t>
  </si>
  <si>
    <t>Kavalergardskiy</t>
  </si>
  <si>
    <t>Leib-Gvardii Konnyy</t>
  </si>
  <si>
    <t>Yego Velichestva Leib-Kirasirskiy</t>
  </si>
  <si>
    <t>Yeya Velichestva Kirasirskiy</t>
  </si>
  <si>
    <t>Leib-Gvardii Dragunskiy</t>
  </si>
  <si>
    <t>Leib-Gvardii Ulanskiy</t>
  </si>
  <si>
    <t>Leib-Gvardii Gusarskiy</t>
  </si>
  <si>
    <t>Leib-Gvardii Kazachiy</t>
  </si>
  <si>
    <t>Yegerskiy</t>
  </si>
  <si>
    <t>Pehotniy</t>
  </si>
  <si>
    <t>Grenaderskaya</t>
  </si>
  <si>
    <t>Svodno-Grenaderskaya</t>
  </si>
  <si>
    <t>Pionery</t>
  </si>
  <si>
    <t>Kirasirskiy</t>
  </si>
  <si>
    <t>Dragunskiy</t>
  </si>
  <si>
    <t>Ulanskiy</t>
  </si>
  <si>
    <t>Gusarskiy</t>
  </si>
  <si>
    <t>Donskoy Kazachiy</t>
  </si>
  <si>
    <t>Konno-Tatarskiy</t>
  </si>
  <si>
    <t>Bugskiy Kazachiy</t>
  </si>
  <si>
    <t>Bashkirskiy Konnyy</t>
  </si>
  <si>
    <t>Teptyar Kazachiy</t>
  </si>
  <si>
    <t>Batareynaya Artilleriyskaya</t>
  </si>
  <si>
    <t>Legkaya Artilleriyskaya</t>
  </si>
  <si>
    <t>Konno-Artilleriyskaya</t>
  </si>
  <si>
    <t>Donskoy Artilleriyskaya</t>
  </si>
  <si>
    <t>Pehotnaya Diviziya</t>
  </si>
  <si>
    <t>Leib-Gvardii Diviziya</t>
  </si>
  <si>
    <t>Leib-Gvardii Kavaleriya Brigada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</si>
</sst>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444444"/>
      <name val="Arial"/>
      <family val="2"/>
    </font>
    <font>
      <sz val="11"/>
      <color rgb="FF444444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E9E9E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C0BF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top" wrapText="1"/>
    </xf>
    <xf numFmtId="0" fontId="0" fillId="4" borderId="2" xfId="0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A6EE-836D-4B1C-9447-4891875C4300}">
  <dimension ref="A1:J30"/>
  <sheetViews>
    <sheetView workbookViewId="0">
      <selection activeCell="C2" sqref="C2:C3"/>
    </sheetView>
  </sheetViews>
  <sheetFormatPr defaultRowHeight="15" x14ac:dyDescent="0.25"/>
  <cols>
    <col min="1" max="10" width="25.5703125" style="9" customWidth="1"/>
  </cols>
  <sheetData>
    <row r="1" spans="1:10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6" t="s">
        <v>12</v>
      </c>
      <c r="J1" s="6" t="s">
        <v>1</v>
      </c>
    </row>
    <row r="2" spans="1:10" ht="57" customHeight="1" x14ac:dyDescent="0.25">
      <c r="A2" s="10" t="s">
        <v>69</v>
      </c>
      <c r="B2" s="10" t="s">
        <v>6</v>
      </c>
      <c r="C2" s="10"/>
      <c r="D2" s="2" t="s">
        <v>19</v>
      </c>
      <c r="E2" s="3">
        <v>4</v>
      </c>
      <c r="F2" s="10"/>
      <c r="I2" s="7"/>
      <c r="J2" s="7"/>
    </row>
    <row r="3" spans="1:10" ht="71.25" customHeight="1" x14ac:dyDescent="0.25">
      <c r="A3" s="10"/>
      <c r="B3" s="10"/>
      <c r="C3" s="10"/>
      <c r="D3" s="2" t="s">
        <v>20</v>
      </c>
      <c r="E3" s="3">
        <v>8</v>
      </c>
      <c r="F3" s="10"/>
      <c r="I3" s="8" t="s">
        <v>41</v>
      </c>
      <c r="J3" s="8" t="s">
        <v>13</v>
      </c>
    </row>
    <row r="4" spans="1:10" ht="42.75" customHeight="1" x14ac:dyDescent="0.25">
      <c r="A4" s="4" t="s">
        <v>22</v>
      </c>
      <c r="B4" s="4" t="s">
        <v>6</v>
      </c>
      <c r="C4" s="4" t="s">
        <v>11</v>
      </c>
      <c r="D4" s="4" t="s">
        <v>23</v>
      </c>
      <c r="E4" s="5">
        <v>12</v>
      </c>
      <c r="F4" s="4" t="s">
        <v>24</v>
      </c>
      <c r="I4" s="8" t="s">
        <v>42</v>
      </c>
      <c r="J4" s="8" t="s">
        <v>13</v>
      </c>
    </row>
    <row r="5" spans="1:10" ht="85.5" customHeight="1" x14ac:dyDescent="0.25">
      <c r="A5" s="2" t="s">
        <v>25</v>
      </c>
      <c r="B5" s="2" t="s">
        <v>6</v>
      </c>
      <c r="C5" s="2"/>
      <c r="D5" s="2" t="s">
        <v>26</v>
      </c>
      <c r="E5" s="3">
        <v>10</v>
      </c>
      <c r="F5" s="2"/>
      <c r="I5" s="8" t="s">
        <v>43</v>
      </c>
      <c r="J5" s="8" t="s">
        <v>15</v>
      </c>
    </row>
    <row r="6" spans="1:10" ht="28.5" x14ac:dyDescent="0.25">
      <c r="A6" s="11" t="s">
        <v>27</v>
      </c>
      <c r="B6" s="11" t="s">
        <v>7</v>
      </c>
      <c r="C6" s="11" t="s">
        <v>8</v>
      </c>
      <c r="D6" s="4" t="s">
        <v>28</v>
      </c>
      <c r="E6" s="5">
        <v>8</v>
      </c>
      <c r="F6" s="11"/>
      <c r="I6" s="8" t="s">
        <v>44</v>
      </c>
      <c r="J6" s="8" t="s">
        <v>15</v>
      </c>
    </row>
    <row r="7" spans="1:10" ht="28.5" x14ac:dyDescent="0.25">
      <c r="A7" s="11"/>
      <c r="B7" s="11"/>
      <c r="C7" s="11"/>
      <c r="D7" s="4" t="s">
        <v>29</v>
      </c>
      <c r="E7" s="5">
        <v>1</v>
      </c>
      <c r="F7" s="11"/>
      <c r="I7" s="8" t="s">
        <v>45</v>
      </c>
      <c r="J7" s="8" t="s">
        <v>15</v>
      </c>
    </row>
    <row r="8" spans="1:10" ht="28.5" customHeight="1" x14ac:dyDescent="0.25">
      <c r="A8" s="2" t="s">
        <v>30</v>
      </c>
      <c r="B8" s="2" t="s">
        <v>7</v>
      </c>
      <c r="C8" s="2" t="s">
        <v>8</v>
      </c>
      <c r="D8" s="2" t="s">
        <v>31</v>
      </c>
      <c r="E8" s="3">
        <v>6</v>
      </c>
      <c r="F8" s="2"/>
      <c r="I8" s="8" t="s">
        <v>46</v>
      </c>
      <c r="J8" s="8" t="s">
        <v>15</v>
      </c>
    </row>
    <row r="9" spans="1:10" ht="28.5" customHeight="1" x14ac:dyDescent="0.25">
      <c r="A9" s="4" t="s">
        <v>32</v>
      </c>
      <c r="B9" s="4" t="s">
        <v>7</v>
      </c>
      <c r="C9" s="4" t="s">
        <v>8</v>
      </c>
      <c r="D9" s="4" t="s">
        <v>33</v>
      </c>
      <c r="E9" s="5">
        <v>6</v>
      </c>
      <c r="F9" s="4"/>
      <c r="I9" s="8" t="s">
        <v>47</v>
      </c>
      <c r="J9" s="8" t="s">
        <v>15</v>
      </c>
    </row>
    <row r="10" spans="1:10" ht="15" customHeight="1" x14ac:dyDescent="0.25">
      <c r="A10" s="10" t="s">
        <v>34</v>
      </c>
      <c r="B10" s="10" t="s">
        <v>7</v>
      </c>
      <c r="C10" s="2" t="s">
        <v>35</v>
      </c>
      <c r="D10" s="10" t="s">
        <v>36</v>
      </c>
      <c r="E10" s="13">
        <v>6</v>
      </c>
      <c r="F10" s="10"/>
      <c r="I10" s="8" t="s">
        <v>48</v>
      </c>
      <c r="J10" s="8" t="s">
        <v>15</v>
      </c>
    </row>
    <row r="11" spans="1:10" ht="28.5" customHeight="1" x14ac:dyDescent="0.25">
      <c r="A11" s="10"/>
      <c r="B11" s="10"/>
      <c r="C11" s="2" t="s">
        <v>8</v>
      </c>
      <c r="D11" s="10"/>
      <c r="E11" s="13"/>
      <c r="F11" s="10"/>
      <c r="I11" s="8" t="s">
        <v>49</v>
      </c>
      <c r="J11" s="8" t="s">
        <v>15</v>
      </c>
    </row>
    <row r="12" spans="1:10" ht="32.25" customHeight="1" x14ac:dyDescent="0.25">
      <c r="A12" s="11" t="s">
        <v>37</v>
      </c>
      <c r="B12" s="11" t="s">
        <v>9</v>
      </c>
      <c r="C12" s="11" t="s">
        <v>10</v>
      </c>
      <c r="D12" s="4" t="s">
        <v>38</v>
      </c>
      <c r="E12" s="12"/>
      <c r="F12" s="11" t="s">
        <v>40</v>
      </c>
      <c r="I12" s="8" t="s">
        <v>50</v>
      </c>
      <c r="J12" s="8" t="s">
        <v>15</v>
      </c>
    </row>
    <row r="13" spans="1:10" ht="36.75" customHeight="1" x14ac:dyDescent="0.25">
      <c r="A13" s="11"/>
      <c r="B13" s="11"/>
      <c r="C13" s="11"/>
      <c r="D13" s="4" t="s">
        <v>21</v>
      </c>
      <c r="E13" s="5">
        <v>2</v>
      </c>
      <c r="F13" s="11"/>
      <c r="I13" s="8" t="s">
        <v>51</v>
      </c>
      <c r="J13" s="8" t="s">
        <v>13</v>
      </c>
    </row>
    <row r="14" spans="1:10" ht="28.5" customHeight="1" x14ac:dyDescent="0.25">
      <c r="A14" s="11"/>
      <c r="B14" s="11"/>
      <c r="C14" s="11"/>
      <c r="D14" s="4" t="s">
        <v>39</v>
      </c>
      <c r="E14" s="5">
        <v>2</v>
      </c>
      <c r="F14" s="11"/>
      <c r="I14" s="8" t="s">
        <v>52</v>
      </c>
      <c r="J14" s="8" t="s">
        <v>13</v>
      </c>
    </row>
    <row r="15" spans="1:10" ht="28.5" customHeight="1" x14ac:dyDescent="0.25">
      <c r="A15" s="11"/>
      <c r="B15" s="11"/>
      <c r="C15" s="11"/>
      <c r="D15" s="4"/>
      <c r="E15" s="5">
        <v>2</v>
      </c>
      <c r="F15" s="11"/>
      <c r="I15" s="8" t="s">
        <v>53</v>
      </c>
      <c r="J15" s="8" t="s">
        <v>13</v>
      </c>
    </row>
    <row r="16" spans="1:10" ht="28.5" customHeight="1" x14ac:dyDescent="0.25">
      <c r="A16" s="2" t="s">
        <v>70</v>
      </c>
      <c r="B16" s="2" t="s">
        <v>6</v>
      </c>
      <c r="C16" s="2" t="s">
        <v>11</v>
      </c>
      <c r="D16" s="2"/>
      <c r="E16" s="3"/>
      <c r="F16" s="2"/>
      <c r="I16" s="8" t="s">
        <v>54</v>
      </c>
      <c r="J16" s="8" t="s">
        <v>13</v>
      </c>
    </row>
    <row r="17" spans="1:10" ht="28.5" customHeight="1" x14ac:dyDescent="0.25">
      <c r="A17" s="9" t="s">
        <v>71</v>
      </c>
      <c r="B17" s="9" t="s">
        <v>7</v>
      </c>
      <c r="I17" s="8" t="s">
        <v>55</v>
      </c>
      <c r="J17" s="8" t="s">
        <v>14</v>
      </c>
    </row>
    <row r="18" spans="1:10" x14ac:dyDescent="0.25">
      <c r="I18" s="8" t="s">
        <v>56</v>
      </c>
      <c r="J18" s="8" t="s">
        <v>15</v>
      </c>
    </row>
    <row r="19" spans="1:10" x14ac:dyDescent="0.25">
      <c r="I19" s="9" t="s">
        <v>57</v>
      </c>
      <c r="J19" s="9" t="s">
        <v>15</v>
      </c>
    </row>
    <row r="20" spans="1:10" x14ac:dyDescent="0.25">
      <c r="I20" s="9" t="s">
        <v>58</v>
      </c>
      <c r="J20" s="9" t="s">
        <v>15</v>
      </c>
    </row>
    <row r="21" spans="1:10" x14ac:dyDescent="0.25">
      <c r="I21" s="9" t="s">
        <v>59</v>
      </c>
      <c r="J21" s="9" t="s">
        <v>15</v>
      </c>
    </row>
    <row r="22" spans="1:10" x14ac:dyDescent="0.25">
      <c r="I22" s="9" t="s">
        <v>60</v>
      </c>
      <c r="J22" s="9" t="s">
        <v>15</v>
      </c>
    </row>
    <row r="23" spans="1:10" x14ac:dyDescent="0.25">
      <c r="I23" s="9" t="s">
        <v>61</v>
      </c>
      <c r="J23" s="9" t="s">
        <v>15</v>
      </c>
    </row>
    <row r="24" spans="1:10" x14ac:dyDescent="0.25">
      <c r="I24" s="9" t="s">
        <v>62</v>
      </c>
      <c r="J24" s="9" t="s">
        <v>15</v>
      </c>
    </row>
    <row r="25" spans="1:10" x14ac:dyDescent="0.25">
      <c r="I25" s="9" t="s">
        <v>63</v>
      </c>
      <c r="J25" s="9" t="s">
        <v>15</v>
      </c>
    </row>
    <row r="26" spans="1:10" x14ac:dyDescent="0.25">
      <c r="I26" s="9" t="s">
        <v>64</v>
      </c>
      <c r="J26" s="9" t="s">
        <v>15</v>
      </c>
    </row>
    <row r="27" spans="1:10" x14ac:dyDescent="0.25">
      <c r="I27" s="9" t="s">
        <v>65</v>
      </c>
      <c r="J27" s="9" t="s">
        <v>16</v>
      </c>
    </row>
    <row r="28" spans="1:10" x14ac:dyDescent="0.25">
      <c r="I28" s="9" t="s">
        <v>66</v>
      </c>
      <c r="J28" s="9" t="s">
        <v>16</v>
      </c>
    </row>
    <row r="29" spans="1:10" x14ac:dyDescent="0.25">
      <c r="I29" s="9" t="s">
        <v>67</v>
      </c>
      <c r="J29" s="9" t="s">
        <v>16</v>
      </c>
    </row>
    <row r="30" spans="1:10" x14ac:dyDescent="0.25">
      <c r="I30" s="9" t="s">
        <v>68</v>
      </c>
      <c r="J30" s="9" t="s">
        <v>16</v>
      </c>
    </row>
  </sheetData>
  <mergeCells count="17">
    <mergeCell ref="A6:A7"/>
    <mergeCell ref="B6:B7"/>
    <mergeCell ref="C6:C7"/>
    <mergeCell ref="F6:F7"/>
    <mergeCell ref="A10:A11"/>
    <mergeCell ref="B10:B11"/>
    <mergeCell ref="D10:D11"/>
    <mergeCell ref="E10:E11"/>
    <mergeCell ref="A12:A15"/>
    <mergeCell ref="B12:B15"/>
    <mergeCell ref="C12:C15"/>
    <mergeCell ref="F12:F15"/>
    <mergeCell ref="F10:F11"/>
    <mergeCell ref="A2:A3"/>
    <mergeCell ref="B2:B3"/>
    <mergeCell ref="C2:C3"/>
    <mergeCell ref="F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F401-E5BC-41DA-8596-65382229DEB1}">
  <dimension ref="A1:AE11"/>
  <sheetViews>
    <sheetView tabSelected="1" workbookViewId="0">
      <selection activeCell="D2" sqref="D2"/>
    </sheetView>
  </sheetViews>
  <sheetFormatPr defaultRowHeight="15" x14ac:dyDescent="0.25"/>
  <cols>
    <col min="1" max="3" width="24.85546875" customWidth="1"/>
    <col min="4" max="31" width="16.42578125" style="9" customWidth="1"/>
  </cols>
  <sheetData>
    <row r="1" spans="1:31" s="9" customFormat="1" ht="30" x14ac:dyDescent="0.25">
      <c r="A1" s="9" t="s">
        <v>17</v>
      </c>
      <c r="B1" s="9" t="s">
        <v>1</v>
      </c>
      <c r="C1" s="9" t="s">
        <v>2</v>
      </c>
      <c r="D1" s="9" t="str" cm="1">
        <f t="array" ref="D1:AE1">TRANSPOSE( BaselineFormations!I3:I30 )</f>
        <v>Leib-Gvardii Yegerskiy</v>
      </c>
      <c r="E1" s="9" t="str">
        <v>Leib-Gvardii Pehotniy</v>
      </c>
      <c r="F1" s="9" t="str">
        <v>Kavalergardskiy</v>
      </c>
      <c r="G1" s="9" t="str">
        <v>Leib-Gvardii Konnyy</v>
      </c>
      <c r="H1" s="9" t="str">
        <v>Yego Velichestva Leib-Kirasirskiy</v>
      </c>
      <c r="I1" s="9" t="str">
        <v>Yeya Velichestva Kirasirskiy</v>
      </c>
      <c r="J1" s="9" t="str">
        <v>Leib-Gvardii Dragunskiy</v>
      </c>
      <c r="K1" s="9" t="str">
        <v>Leib-Gvardii Ulanskiy</v>
      </c>
      <c r="L1" s="9" t="str">
        <v>Leib-Gvardii Gusarskiy</v>
      </c>
      <c r="M1" s="9" t="str">
        <v>Leib-Gvardii Kazachiy</v>
      </c>
      <c r="N1" s="9" t="str">
        <v>Yegerskiy</v>
      </c>
      <c r="O1" s="9" t="str">
        <v>Pehotniy</v>
      </c>
      <c r="P1" s="9" t="str">
        <v>Grenaderskaya</v>
      </c>
      <c r="Q1" s="9" t="str">
        <v>Svodno-Grenaderskaya</v>
      </c>
      <c r="R1" s="9" t="str">
        <v>Pionery</v>
      </c>
      <c r="S1" s="9" t="str">
        <v>Kirasirskiy</v>
      </c>
      <c r="T1" s="9" t="str">
        <v>Dragunskiy</v>
      </c>
      <c r="U1" s="9" t="str">
        <v>Ulanskiy</v>
      </c>
      <c r="V1" s="9" t="str">
        <v>Gusarskiy</v>
      </c>
      <c r="W1" s="9" t="str">
        <v>Donskoy Kazachiy</v>
      </c>
      <c r="X1" s="9" t="str">
        <v>Konno-Tatarskiy</v>
      </c>
      <c r="Y1" s="9" t="str">
        <v>Bugskiy Kazachiy</v>
      </c>
      <c r="Z1" s="9" t="str">
        <v>Bashkirskiy Konnyy</v>
      </c>
      <c r="AA1" s="9" t="str">
        <v>Teptyar Kazachiy</v>
      </c>
      <c r="AB1" s="9" t="str">
        <v>Batareynaya Artilleriyskaya</v>
      </c>
      <c r="AC1" s="9" t="str">
        <v>Legkaya Artilleriyskaya</v>
      </c>
      <c r="AD1" s="9" t="str">
        <v>Konno-Artilleriyskaya</v>
      </c>
      <c r="AE1" s="9" t="str">
        <v>Donskoy Artilleriyskaya</v>
      </c>
    </row>
    <row r="2" spans="1:31" x14ac:dyDescent="0.25">
      <c r="A2" t="str" cm="1">
        <f t="array" ref="A2:C11">_xlfn.LET(_xlpm.data,_xlfn._xlws.FILTER(BaselineFormations!A:C,(BaselineFormations!A:A&lt;&gt;"Formation")*(NOT(ISBLANK(BaselineFormations!A:A)))),IF(_xlpm.data=0,"",_xlpm.data))</f>
        <v>Pehotnaya Diviziya</v>
      </c>
      <c r="B2" t="str">
        <v>Infantry</v>
      </c>
      <c r="C2" t="str">
        <v/>
      </c>
      <c r="N2" s="9" t="s">
        <v>18</v>
      </c>
      <c r="O2" s="9" t="s">
        <v>18</v>
      </c>
      <c r="R2" s="9" t="s">
        <v>18</v>
      </c>
      <c r="AB2" s="9" t="s">
        <v>18</v>
      </c>
      <c r="AC2" s="9" t="s">
        <v>18</v>
      </c>
    </row>
    <row r="3" spans="1:31" x14ac:dyDescent="0.25">
      <c r="A3" t="str">
        <v>Grenaderskaya Diviziya</v>
      </c>
      <c r="B3" t="str">
        <v>Infantry</v>
      </c>
      <c r="C3" t="str">
        <v>Enthusiastic</v>
      </c>
      <c r="P3" s="9" t="s">
        <v>18</v>
      </c>
      <c r="R3" s="9" t="s">
        <v>18</v>
      </c>
      <c r="AB3" s="9" t="s">
        <v>18</v>
      </c>
      <c r="AC3" s="9" t="s">
        <v>18</v>
      </c>
    </row>
    <row r="4" spans="1:31" x14ac:dyDescent="0.25">
      <c r="A4" t="str">
        <v>Svodno-Grenaderskaya Divizya</v>
      </c>
      <c r="B4" t="str">
        <v>Infantry</v>
      </c>
      <c r="C4" t="str">
        <v/>
      </c>
      <c r="Q4" s="9" t="s">
        <v>18</v>
      </c>
      <c r="R4" s="9" t="s">
        <v>18</v>
      </c>
      <c r="AB4" s="9" t="s">
        <v>18</v>
      </c>
      <c r="AC4" s="9" t="s">
        <v>18</v>
      </c>
    </row>
    <row r="5" spans="1:31" x14ac:dyDescent="0.25">
      <c r="A5" t="str">
        <v>Legkaya Kavaleriya</v>
      </c>
      <c r="B5" t="str">
        <v>Cavalry</v>
      </c>
      <c r="C5" t="str">
        <v>Rapid Deployment</v>
      </c>
    </row>
    <row r="6" spans="1:31" x14ac:dyDescent="0.25">
      <c r="A6" t="str">
        <v>Kavaleriyskaya Brigada</v>
      </c>
      <c r="B6" t="str">
        <v>Cavalry</v>
      </c>
      <c r="C6" t="str">
        <v>Rapid Deployment</v>
      </c>
      <c r="T6" s="9" t="s">
        <v>18</v>
      </c>
      <c r="U6" s="9" t="s">
        <v>18</v>
      </c>
      <c r="V6" s="9" t="s">
        <v>18</v>
      </c>
      <c r="AD6" s="9" t="s">
        <v>18</v>
      </c>
    </row>
    <row r="7" spans="1:31" x14ac:dyDescent="0.25">
      <c r="A7" t="str">
        <v>Kirasirskaya Brigada</v>
      </c>
      <c r="B7" t="str">
        <v>Cavalry</v>
      </c>
      <c r="C7" t="str">
        <v>Rapid Deployment</v>
      </c>
      <c r="S7" s="9" t="s">
        <v>18</v>
      </c>
      <c r="AD7" s="9" t="s">
        <v>18</v>
      </c>
    </row>
    <row r="8" spans="1:31" x14ac:dyDescent="0.25">
      <c r="A8" t="str">
        <v>Donskaya Kazachya Brigada</v>
      </c>
      <c r="B8" t="str">
        <v>Cavalry</v>
      </c>
      <c r="C8" t="str">
        <v>Brittle</v>
      </c>
      <c r="W8" s="9" t="s">
        <v>18</v>
      </c>
      <c r="X8" s="9" t="s">
        <v>18</v>
      </c>
      <c r="Y8" s="9" t="s">
        <v>18</v>
      </c>
      <c r="Z8" s="9" t="s">
        <v>18</v>
      </c>
      <c r="AA8" s="9" t="s">
        <v>18</v>
      </c>
      <c r="AE8" s="9" t="s">
        <v>18</v>
      </c>
    </row>
    <row r="9" spans="1:31" x14ac:dyDescent="0.25">
      <c r="A9" t="str">
        <v>Rezervnaya Artilleriya</v>
      </c>
      <c r="B9" t="str">
        <v>Artillery</v>
      </c>
      <c r="C9" t="str">
        <v>Reinforcements</v>
      </c>
      <c r="AB9" s="9" t="s">
        <v>18</v>
      </c>
      <c r="AC9" s="9" t="s">
        <v>18</v>
      </c>
      <c r="AD9" s="9" t="s">
        <v>18</v>
      </c>
    </row>
    <row r="10" spans="1:31" x14ac:dyDescent="0.25">
      <c r="A10" t="str">
        <v>Leib-Gvardii Diviziya</v>
      </c>
      <c r="B10" t="str">
        <v>Infantry</v>
      </c>
      <c r="C10" t="str">
        <v>Enthusiastic</v>
      </c>
      <c r="D10" s="9" t="s">
        <v>18</v>
      </c>
      <c r="E10" s="9" t="s">
        <v>18</v>
      </c>
      <c r="AB10" s="9" t="s">
        <v>18</v>
      </c>
      <c r="AC10" s="9" t="s">
        <v>18</v>
      </c>
      <c r="AD10" s="9" t="s">
        <v>18</v>
      </c>
    </row>
    <row r="11" spans="1:31" x14ac:dyDescent="0.25">
      <c r="A11" t="str">
        <v>Leib-Gvardii Kavaleriya Brigada</v>
      </c>
      <c r="B11" t="str">
        <v>Cavalry</v>
      </c>
      <c r="C11" t="str">
        <v/>
      </c>
      <c r="F11" s="9" t="s">
        <v>18</v>
      </c>
      <c r="G11" s="9" t="s">
        <v>18</v>
      </c>
      <c r="H11" s="9" t="s">
        <v>18</v>
      </c>
      <c r="I11" s="9" t="s">
        <v>18</v>
      </c>
      <c r="J11" s="9" t="s">
        <v>18</v>
      </c>
      <c r="K11" s="9" t="s">
        <v>18</v>
      </c>
      <c r="L11" s="9" t="s">
        <v>18</v>
      </c>
      <c r="M11" s="9" t="s">
        <v>18</v>
      </c>
      <c r="AC11" s="9" t="s">
        <v>18</v>
      </c>
      <c r="AD11" s="9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8E7C02-D4BE-422C-BCB0-6DC6593860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BaselineFormations</vt:lpstr>
      <vt:lpstr>ExpandedFormations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Pressley</dc:creator>
  <cp:lastModifiedBy>Todd Pressley</cp:lastModifiedBy>
  <dcterms:created xsi:type="dcterms:W3CDTF">2026-05-25T17:38:57Z</dcterms:created>
  <dcterms:modified xsi:type="dcterms:W3CDTF">2026-05-25T22:23:42Z</dcterms:modified>
</cp:coreProperties>
</file>