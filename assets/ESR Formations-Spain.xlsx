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/assets/"/>
    </mc:Choice>
  </mc:AlternateContent>
  <xr:revisionPtr revIDLastSave="28" documentId="8_{D7CFA916-9F2B-478A-A058-1C95A2A5ABF8}" xr6:coauthVersionLast="47" xr6:coauthVersionMax="47" xr10:uidLastSave="{6DE09946-7E4D-43CF-A223-D92BE25A4B4F}"/>
  <bookViews>
    <workbookView xWindow="1560" yWindow="1560" windowWidth="26610" windowHeight="14595" activeTab="1" xr2:uid="{20271C60-C4FB-4B77-A1B3-909BAACA5FD5}"/>
  </bookViews>
  <sheets>
    <sheet name="BaselineFormations" sheetId="1" r:id="rId1"/>
    <sheet name="ExpandedFormations" sheetId="2" r:id="rId2"/>
  </sheets>
  <definedNames>
    <definedName name="FromArray_1">_xlfn.ANCHORARRAY(ExpandedFormations!$A$3)</definedName>
    <definedName name="FromArray_3">_xlfn.ANCHORARRAY(ExpandedFormations!$D$3)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2" l="1" a="1"/>
  <c r="D1" i="2" s="1"/>
  <c r="A3" i="2" a="1"/>
  <c r="A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8D5E87-B855-46E5-9858-A319AD55B056}" keepAlive="1" name="Query - FromArray_1" description="Connection to the 'FromArray_1' query in the workbook." type="5" refreshedVersion="0" background="1" saveData="1">
    <dbPr connection="Provider=Microsoft.Mashup.OleDb.1;Data Source=$Workbook$;Location=FromArray_1;Extended Properties=&quot;&quot;" command="SELECT * FROM [FromArray_1]"/>
  </connection>
  <connection id="2" xr16:uid="{BC6D6506-3550-4644-A0CA-42FD572CEE76}" keepAlive="1" name="Query - FromArray_3" description="Connection to the 'FromArray_3' query in the workbook." type="5" refreshedVersion="0" background="1" saveData="1">
    <dbPr connection="Provider=Microsoft.Mashup.OleDb.1;Data Source=$Workbook$;Location=FromArray_3;Extended Properties=&quot;&quot;" command="SELECT * FROM [FromArray_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<sst xmlns="http://schemas.openxmlformats.org/spreadsheetml/2006/main" count="135" uniqueCount="52">
  <si>
    <t>Formation</t>
  </si>
  <si>
    <t>Type</t>
  </si>
  <si>
    <t>Traits</t>
  </si>
  <si>
    <t>Units</t>
  </si>
  <si>
    <t>QTY</t>
  </si>
  <si>
    <t>Notes</t>
  </si>
  <si>
    <t>Infantry</t>
  </si>
  <si>
    <t>Cavalry</t>
  </si>
  <si>
    <t>Rapid Deployment</t>
  </si>
  <si>
    <t>Unit</t>
  </si>
  <si>
    <t>Infantry Company (Asset)</t>
  </si>
  <si>
    <t>Artillery Battery (Asset)</t>
  </si>
  <si>
    <t>Formation\Unit</t>
  </si>
  <si>
    <t>x</t>
  </si>
  <si>
    <t>Infantry Battalion (Unit)</t>
  </si>
  <si>
    <t>Cavalry Squadron Group (Unit)</t>
  </si>
  <si>
    <t>Mixed</t>
  </si>
  <si>
    <t>Brittle*</t>
  </si>
  <si>
    <t>Cazadores/Tiradores/Ligero Batallóns</t>
  </si>
  <si>
    <t>Húsares Escuadrilla Groups</t>
  </si>
  <si>
    <t>Infantería de Linea/Infantería Batallóns</t>
  </si>
  <si>
    <t>Dragones</t>
  </si>
  <si>
    <t>SP Vanguardia</t>
  </si>
  <si>
    <t>SP División</t>
  </si>
  <si>
    <t>SP Caballería Brigada</t>
  </si>
  <si>
    <t>SP Guardias de Infantería</t>
  </si>
  <si>
    <t>SP El Vieja Ligero/Cazadores/Tiradores</t>
  </si>
  <si>
    <t>SP El Vieja Tiradores</t>
  </si>
  <si>
    <t>SP El Vieja Infantería de Linea</t>
  </si>
  <si>
    <t>SP El Vieja Infantería Marina</t>
  </si>
  <si>
    <t>SP El Vieja Infantería Extranjera</t>
  </si>
  <si>
    <t>SP El Vieja Infantería Colonial</t>
  </si>
  <si>
    <t>SP Milicia Provincial Infantería</t>
  </si>
  <si>
    <t>SP Milicia Urbanas</t>
  </si>
  <si>
    <t>Infantry Company (Unit)</t>
  </si>
  <si>
    <t>SP Tercios Españoles de Tejas</t>
  </si>
  <si>
    <t>SP Granaderos del General</t>
  </si>
  <si>
    <t>SP Granaderos Provinciales</t>
  </si>
  <si>
    <t>SP Húsares</t>
  </si>
  <si>
    <t>SP Cazadores a Caballo</t>
  </si>
  <si>
    <t>SP Dragones</t>
  </si>
  <si>
    <t>SP Caballería de Línea</t>
  </si>
  <si>
    <t>SP Artillería de Campo</t>
  </si>
  <si>
    <t>SP Artillería a Pie</t>
  </si>
  <si>
    <t>SP Artillería a Caballo</t>
  </si>
  <si>
    <t>SP Zapadores</t>
  </si>
  <si>
    <t>SP La Nuevo Ligero/Cazadores/Tiradores</t>
  </si>
  <si>
    <t>SP La Nuevo Infantería</t>
  </si>
  <si>
    <t>SP Tercios Migueletes</t>
  </si>
  <si>
    <t>SP Reclutas Civiles</t>
  </si>
  <si>
    <t>SP Lanceros</t>
  </si>
  <si>
    <t>SP 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</si>
</sst>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444444"/>
      <name val="Arial"/>
      <family val="2"/>
    </font>
    <font>
      <sz val="11"/>
      <color rgb="FF44444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C0BF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A6EE-836D-4B1C-9447-4891875C4300}">
  <dimension ref="A1:M36"/>
  <sheetViews>
    <sheetView workbookViewId="0">
      <selection activeCell="I3" sqref="I3:J27"/>
    </sheetView>
  </sheetViews>
  <sheetFormatPr defaultRowHeight="15" x14ac:dyDescent="0.25"/>
  <cols>
    <col min="1" max="3" width="25.5703125" style="7" customWidth="1"/>
    <col min="4" max="4" width="27.140625" style="7" customWidth="1"/>
    <col min="5" max="5" width="25.5703125" style="12" customWidth="1"/>
    <col min="6" max="10" width="25.5703125" style="7" customWidth="1"/>
    <col min="11" max="11" width="21" customWidth="1"/>
    <col min="12" max="12" width="28.7109375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1" t="s">
        <v>5</v>
      </c>
      <c r="I1" s="4" t="s">
        <v>9</v>
      </c>
      <c r="J1" s="4" t="s">
        <v>1</v>
      </c>
    </row>
    <row r="2" spans="1:10" ht="57" customHeight="1" x14ac:dyDescent="0.25">
      <c r="A2" s="13" t="s">
        <v>22</v>
      </c>
      <c r="B2" s="13" t="s">
        <v>16</v>
      </c>
      <c r="C2" s="13" t="s">
        <v>17</v>
      </c>
      <c r="D2" s="9" t="s">
        <v>18</v>
      </c>
      <c r="E2" s="2">
        <v>4</v>
      </c>
      <c r="F2" s="13"/>
      <c r="I2" s="5"/>
      <c r="J2" s="5"/>
    </row>
    <row r="3" spans="1:10" ht="71.25" customHeight="1" x14ac:dyDescent="0.25">
      <c r="A3" s="13"/>
      <c r="B3" s="13"/>
      <c r="C3" s="13"/>
      <c r="D3" s="9" t="s">
        <v>19</v>
      </c>
      <c r="E3" s="2">
        <v>1</v>
      </c>
      <c r="F3" s="13"/>
      <c r="I3" s="6" t="s">
        <v>25</v>
      </c>
      <c r="J3" s="6" t="s">
        <v>14</v>
      </c>
    </row>
    <row r="4" spans="1:10" ht="42.75" x14ac:dyDescent="0.25">
      <c r="A4" s="10" t="s">
        <v>23</v>
      </c>
      <c r="B4" s="10" t="s">
        <v>6</v>
      </c>
      <c r="C4" s="10" t="s">
        <v>17</v>
      </c>
      <c r="D4" s="10" t="s">
        <v>20</v>
      </c>
      <c r="E4" s="3">
        <v>4</v>
      </c>
      <c r="F4" s="10"/>
      <c r="I4" s="6" t="s">
        <v>26</v>
      </c>
      <c r="J4" s="6" t="s">
        <v>14</v>
      </c>
    </row>
    <row r="5" spans="1:10" ht="85.5" customHeight="1" x14ac:dyDescent="0.25">
      <c r="A5" s="9" t="s">
        <v>24</v>
      </c>
      <c r="B5" s="9" t="s">
        <v>7</v>
      </c>
      <c r="C5" s="9" t="s">
        <v>8</v>
      </c>
      <c r="D5" s="9" t="s">
        <v>21</v>
      </c>
      <c r="E5" s="2">
        <v>4</v>
      </c>
      <c r="F5" s="9"/>
      <c r="I5" s="6" t="s">
        <v>27</v>
      </c>
      <c r="J5" s="6" t="s">
        <v>14</v>
      </c>
    </row>
    <row r="6" spans="1:10" ht="28.5" x14ac:dyDescent="0.25">
      <c r="I6" s="6" t="s">
        <v>28</v>
      </c>
      <c r="J6" s="6" t="s">
        <v>14</v>
      </c>
    </row>
    <row r="7" spans="1:10" ht="28.5" x14ac:dyDescent="0.25">
      <c r="I7" s="6" t="s">
        <v>29</v>
      </c>
      <c r="J7" s="6" t="s">
        <v>14</v>
      </c>
    </row>
    <row r="8" spans="1:10" ht="28.5" x14ac:dyDescent="0.25">
      <c r="I8" s="6" t="s">
        <v>30</v>
      </c>
      <c r="J8" s="6" t="s">
        <v>14</v>
      </c>
    </row>
    <row r="9" spans="1:10" ht="15" customHeight="1" x14ac:dyDescent="0.25">
      <c r="C9" s="6"/>
      <c r="D9" s="6"/>
      <c r="E9"/>
      <c r="F9"/>
      <c r="G9"/>
      <c r="H9"/>
      <c r="I9" t="s">
        <v>31</v>
      </c>
      <c r="J9" t="s">
        <v>14</v>
      </c>
    </row>
    <row r="10" spans="1:10" ht="15" customHeight="1" x14ac:dyDescent="0.25">
      <c r="C10" s="6"/>
      <c r="D10" s="6"/>
      <c r="E10"/>
      <c r="F10"/>
      <c r="G10"/>
      <c r="H10"/>
      <c r="I10" t="s">
        <v>32</v>
      </c>
      <c r="J10" t="s">
        <v>14</v>
      </c>
    </row>
    <row r="11" spans="1:10" x14ac:dyDescent="0.25">
      <c r="C11" s="6"/>
      <c r="D11" s="6"/>
      <c r="E11"/>
      <c r="F11"/>
      <c r="G11"/>
      <c r="H11"/>
      <c r="I11" t="s">
        <v>33</v>
      </c>
      <c r="J11" t="s">
        <v>34</v>
      </c>
    </row>
    <row r="12" spans="1:10" ht="32.25" customHeight="1" x14ac:dyDescent="0.25">
      <c r="C12" s="6"/>
      <c r="D12" s="6"/>
      <c r="E12"/>
      <c r="F12"/>
      <c r="G12"/>
      <c r="H12"/>
      <c r="I12" t="s">
        <v>35</v>
      </c>
      <c r="J12" t="s">
        <v>34</v>
      </c>
    </row>
    <row r="13" spans="1:10" ht="36.75" customHeight="1" x14ac:dyDescent="0.25">
      <c r="I13" s="6" t="s">
        <v>36</v>
      </c>
      <c r="J13" s="6" t="s">
        <v>14</v>
      </c>
    </row>
    <row r="14" spans="1:10" ht="28.5" x14ac:dyDescent="0.25">
      <c r="I14" s="6" t="s">
        <v>37</v>
      </c>
      <c r="J14" s="6" t="s">
        <v>14</v>
      </c>
    </row>
    <row r="15" spans="1:10" ht="28.5" customHeight="1" x14ac:dyDescent="0.25">
      <c r="I15" s="6" t="s">
        <v>38</v>
      </c>
      <c r="J15" s="6" t="s">
        <v>15</v>
      </c>
    </row>
    <row r="16" spans="1:10" ht="28.5" customHeight="1" x14ac:dyDescent="0.25">
      <c r="I16" s="6" t="s">
        <v>39</v>
      </c>
      <c r="J16" s="6" t="s">
        <v>15</v>
      </c>
    </row>
    <row r="17" spans="9:10" ht="28.5" customHeight="1" x14ac:dyDescent="0.25">
      <c r="I17" s="6" t="s">
        <v>40</v>
      </c>
      <c r="J17" s="6" t="s">
        <v>15</v>
      </c>
    </row>
    <row r="18" spans="9:10" ht="28.5" x14ac:dyDescent="0.25">
      <c r="I18" s="6" t="s">
        <v>41</v>
      </c>
      <c r="J18" s="6" t="s">
        <v>15</v>
      </c>
    </row>
    <row r="19" spans="9:10" x14ac:dyDescent="0.25">
      <c r="I19" s="6" t="s">
        <v>42</v>
      </c>
      <c r="J19" s="6" t="s">
        <v>11</v>
      </c>
    </row>
    <row r="20" spans="9:10" x14ac:dyDescent="0.25">
      <c r="I20" s="6" t="s">
        <v>43</v>
      </c>
      <c r="J20" s="6" t="s">
        <v>11</v>
      </c>
    </row>
    <row r="21" spans="9:10" x14ac:dyDescent="0.25">
      <c r="I21" s="6" t="s">
        <v>44</v>
      </c>
      <c r="J21" s="6" t="s">
        <v>11</v>
      </c>
    </row>
    <row r="22" spans="9:10" x14ac:dyDescent="0.25">
      <c r="I22" s="6" t="s">
        <v>45</v>
      </c>
      <c r="J22" s="6" t="s">
        <v>10</v>
      </c>
    </row>
    <row r="23" spans="9:10" ht="42.75" x14ac:dyDescent="0.25">
      <c r="I23" s="6" t="s">
        <v>46</v>
      </c>
      <c r="J23" s="6" t="s">
        <v>14</v>
      </c>
    </row>
    <row r="24" spans="9:10" x14ac:dyDescent="0.25">
      <c r="I24" s="6" t="s">
        <v>47</v>
      </c>
      <c r="J24" s="6" t="s">
        <v>14</v>
      </c>
    </row>
    <row r="25" spans="9:10" x14ac:dyDescent="0.25">
      <c r="I25" s="6" t="s">
        <v>48</v>
      </c>
      <c r="J25" s="6" t="s">
        <v>34</v>
      </c>
    </row>
    <row r="26" spans="9:10" x14ac:dyDescent="0.25">
      <c r="I26" s="6" t="s">
        <v>49</v>
      </c>
      <c r="J26" s="6" t="s">
        <v>34</v>
      </c>
    </row>
    <row r="27" spans="9:10" ht="28.5" x14ac:dyDescent="0.25">
      <c r="I27" s="6" t="s">
        <v>50</v>
      </c>
      <c r="J27" s="6" t="s">
        <v>15</v>
      </c>
    </row>
    <row r="28" spans="9:10" x14ac:dyDescent="0.25">
      <c r="I28" s="6"/>
      <c r="J28" s="6"/>
    </row>
    <row r="29" spans="9:10" x14ac:dyDescent="0.25">
      <c r="I29" s="6"/>
      <c r="J29" s="6"/>
    </row>
    <row r="30" spans="9:10" x14ac:dyDescent="0.25">
      <c r="I30" s="6"/>
      <c r="J30" s="6"/>
    </row>
    <row r="31" spans="9:10" x14ac:dyDescent="0.25">
      <c r="I31" s="6"/>
      <c r="J31" s="6"/>
    </row>
    <row r="32" spans="9:10" x14ac:dyDescent="0.25">
      <c r="I32" s="6"/>
      <c r="J32" s="6"/>
    </row>
    <row r="33" spans="12:13" x14ac:dyDescent="0.25">
      <c r="L33" s="7"/>
      <c r="M33" s="8"/>
    </row>
    <row r="34" spans="12:13" x14ac:dyDescent="0.25">
      <c r="M34" s="8"/>
    </row>
    <row r="35" spans="12:13" x14ac:dyDescent="0.25">
      <c r="M35" s="8"/>
    </row>
    <row r="36" spans="12:13" x14ac:dyDescent="0.25">
      <c r="M36" s="8"/>
    </row>
  </sheetData>
  <mergeCells count="4">
    <mergeCell ref="A2:A3"/>
    <mergeCell ref="B2:B3"/>
    <mergeCell ref="C2:C3"/>
    <mergeCell ref="F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F401-E5BC-41DA-8596-65382229DEB1}">
  <dimension ref="A1:AB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5" x14ac:dyDescent="0.25"/>
  <cols>
    <col min="1" max="1" width="40.5703125" customWidth="1"/>
    <col min="2" max="3" width="24.85546875" customWidth="1"/>
    <col min="4" max="7" width="14" customWidth="1"/>
    <col min="8" max="8" width="15.85546875" customWidth="1"/>
    <col min="9" max="15" width="14" customWidth="1"/>
    <col min="16" max="29" width="16.85546875" customWidth="1"/>
  </cols>
  <sheetData>
    <row r="1" spans="1:28" s="7" customFormat="1" ht="51" customHeight="1" x14ac:dyDescent="0.25">
      <c r="A1" s="7" t="s">
        <v>12</v>
      </c>
      <c r="B1" s="7" t="s">
        <v>1</v>
      </c>
      <c r="C1" s="7" t="s">
        <v>2</v>
      </c>
      <c r="D1" s="7" t="str" cm="1">
        <f t="array" ref="D1:AB1">TRANSPOSE(_xlfn._xlws.FILTER(BaselineFormations!I:I,(BaselineFormations!I:I&lt;&gt;"")*(BaselineFormations!I:I&lt;&gt;"Unit")))</f>
        <v>SP Guardias de Infantería</v>
      </c>
      <c r="E1" s="7" t="str">
        <v>SP El Vieja Ligero/Cazadores/Tiradores</v>
      </c>
      <c r="F1" s="7" t="str">
        <v>SP El Vieja Tiradores</v>
      </c>
      <c r="G1" s="7" t="str">
        <v>SP El Vieja Infantería de Linea</v>
      </c>
      <c r="H1" s="7" t="str">
        <v>SP El Vieja Infantería Marina</v>
      </c>
      <c r="I1" s="7" t="str">
        <v>SP El Vieja Infantería Extranjera</v>
      </c>
      <c r="J1" s="7" t="str">
        <v>SP El Vieja Infantería Colonial</v>
      </c>
      <c r="K1" s="7" t="str">
        <v>SP Milicia Provincial Infantería</v>
      </c>
      <c r="L1" s="7" t="str">
        <v>SP Milicia Urbanas</v>
      </c>
      <c r="M1" s="7" t="str">
        <v>SP Tercios Españoles de Tejas</v>
      </c>
      <c r="N1" s="7" t="str">
        <v>SP Granaderos del General</v>
      </c>
      <c r="O1" s="7" t="str">
        <v>SP Granaderos Provinciales</v>
      </c>
      <c r="P1" s="7" t="str">
        <v>SP Húsares</v>
      </c>
      <c r="Q1" s="7" t="str">
        <v>SP Cazadores a Caballo</v>
      </c>
      <c r="R1" s="7" t="str">
        <v>SP Dragones</v>
      </c>
      <c r="S1" s="7" t="str">
        <v>SP Caballería de Línea</v>
      </c>
      <c r="T1" s="7" t="str">
        <v>SP Artillería de Campo</v>
      </c>
      <c r="U1" s="7" t="str">
        <v>SP Artillería a Pie</v>
      </c>
      <c r="V1" s="7" t="str">
        <v>SP Artillería a Caballo</v>
      </c>
      <c r="W1" s="7" t="str">
        <v>SP Zapadores</v>
      </c>
      <c r="X1" s="7" t="str">
        <v>SP La Nuevo Ligero/Cazadores/Tiradores</v>
      </c>
      <c r="Y1" s="7" t="str">
        <v>SP La Nuevo Infantería</v>
      </c>
      <c r="Z1" s="7" t="str">
        <v>SP Tercios Migueletes</v>
      </c>
      <c r="AA1" s="7" t="str">
        <v>SP Reclutas Civiles</v>
      </c>
      <c r="AB1" s="7" t="str">
        <v>SP Lanceros</v>
      </c>
    </row>
    <row r="2" spans="1:28" s="7" customFormat="1" ht="51" customHeight="1" x14ac:dyDescent="0.25">
      <c r="A2" s="7" t="s">
        <v>51</v>
      </c>
      <c r="B2" s="7" t="s">
        <v>16</v>
      </c>
      <c r="D2" s="7" t="s">
        <v>13</v>
      </c>
      <c r="E2" s="7" t="s">
        <v>13</v>
      </c>
      <c r="F2" s="7" t="s">
        <v>13</v>
      </c>
      <c r="G2" s="7" t="s">
        <v>13</v>
      </c>
      <c r="H2" s="7" t="s">
        <v>13</v>
      </c>
      <c r="I2" s="7" t="s">
        <v>13</v>
      </c>
      <c r="J2" s="7" t="s">
        <v>13</v>
      </c>
      <c r="K2" s="7" t="s">
        <v>13</v>
      </c>
      <c r="L2" s="7" t="s">
        <v>13</v>
      </c>
      <c r="M2" s="7" t="s">
        <v>13</v>
      </c>
      <c r="N2" s="7" t="s">
        <v>13</v>
      </c>
      <c r="O2" s="7" t="s">
        <v>13</v>
      </c>
      <c r="P2" s="7" t="s">
        <v>13</v>
      </c>
      <c r="Q2" s="7" t="s">
        <v>13</v>
      </c>
      <c r="R2" s="7" t="s">
        <v>13</v>
      </c>
      <c r="S2" s="7" t="s">
        <v>13</v>
      </c>
      <c r="T2" s="7" t="s">
        <v>13</v>
      </c>
      <c r="U2" s="7" t="s">
        <v>13</v>
      </c>
      <c r="V2" s="7" t="s">
        <v>13</v>
      </c>
      <c r="W2" s="7" t="s">
        <v>13</v>
      </c>
      <c r="X2" s="7" t="s">
        <v>13</v>
      </c>
      <c r="Y2" s="7" t="s">
        <v>13</v>
      </c>
      <c r="Z2" s="7" t="s">
        <v>13</v>
      </c>
      <c r="AA2" s="7" t="s">
        <v>13</v>
      </c>
      <c r="AB2" s="7" t="s">
        <v>13</v>
      </c>
    </row>
    <row r="3" spans="1:28" x14ac:dyDescent="0.25">
      <c r="A3" t="str" cm="1">
        <f t="array" ref="A3:C5">_xlfn.LET(_xlpm.data,_xlfn._xlws.FILTER(BaselineFormations!A:C,(BaselineFormations!A:A&lt;&gt;"Formation")*(NOT(ISBLANK(BaselineFormations!A:A)))),IF(_xlpm.data=0,"",_xlpm.data))</f>
        <v>SP Vanguardia</v>
      </c>
      <c r="B3" t="str">
        <v>Mixed</v>
      </c>
      <c r="C3" t="str">
        <v>Brittle*</v>
      </c>
      <c r="D3" t="s">
        <v>13</v>
      </c>
      <c r="E3" t="s">
        <v>13</v>
      </c>
      <c r="F3" t="s">
        <v>13</v>
      </c>
      <c r="L3" t="s">
        <v>13</v>
      </c>
      <c r="M3" t="s">
        <v>13</v>
      </c>
      <c r="O3" t="s">
        <v>13</v>
      </c>
      <c r="W3" t="s">
        <v>13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</row>
    <row r="4" spans="1:28" x14ac:dyDescent="0.25">
      <c r="A4" t="str">
        <v>SP División</v>
      </c>
      <c r="B4" t="str">
        <v>Infantry</v>
      </c>
      <c r="C4" t="str">
        <v>Brittle*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N4" t="s">
        <v>13</v>
      </c>
      <c r="Q4" t="s">
        <v>13</v>
      </c>
      <c r="T4" t="s">
        <v>13</v>
      </c>
      <c r="U4" t="s">
        <v>13</v>
      </c>
      <c r="V4" t="s">
        <v>13</v>
      </c>
      <c r="W4" t="s">
        <v>13</v>
      </c>
      <c r="X4" t="s">
        <v>13</v>
      </c>
      <c r="Y4" t="s">
        <v>13</v>
      </c>
      <c r="Z4" t="s">
        <v>13</v>
      </c>
      <c r="AA4" t="s">
        <v>13</v>
      </c>
      <c r="AB4" t="s">
        <v>13</v>
      </c>
    </row>
    <row r="5" spans="1:28" x14ac:dyDescent="0.25">
      <c r="A5" t="str">
        <v>SP Caballería Brigada</v>
      </c>
      <c r="B5" t="str">
        <v>Cavalry</v>
      </c>
      <c r="C5" t="str">
        <v>Rapid Deployment</v>
      </c>
      <c r="P5" t="s">
        <v>13</v>
      </c>
      <c r="Q5" t="s">
        <v>13</v>
      </c>
      <c r="R5" t="s">
        <v>13</v>
      </c>
      <c r="S5" t="s">
        <v>13</v>
      </c>
      <c r="V5" t="s">
        <v>13</v>
      </c>
      <c r="AB5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8E7C02-D4BE-422C-BCB0-6DC6593860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BaselineFormations</vt:lpstr>
      <vt:lpstr>ExpandedFormations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Pressley</dc:creator>
  <cp:lastModifiedBy>Todd Pressley</cp:lastModifiedBy>
  <dcterms:created xsi:type="dcterms:W3CDTF">2026-05-25T17:38:57Z</dcterms:created>
  <dcterms:modified xsi:type="dcterms:W3CDTF">2026-06-21T18:34:52Z</dcterms:modified>
</cp:coreProperties>
</file>